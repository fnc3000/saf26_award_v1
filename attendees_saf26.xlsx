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nascimentofnc_petrobras_com_br/Documents/Pessoal/Programacao/avaliacao_buzios/Best_work_award/"/>
    </mc:Choice>
  </mc:AlternateContent>
  <xr:revisionPtr revIDLastSave="2" documentId="8_{9FADBB00-29EB-4266-BA31-F1CCF162A98C}" xr6:coauthVersionLast="47" xr6:coauthVersionMax="47" xr10:uidLastSave="{D6CCA468-777E-4153-869C-04DD504CCEE2}"/>
  <bookViews>
    <workbookView xWindow="28680" yWindow="-120" windowWidth="29040" windowHeight="15720" xr2:uid="{7DCC0F02-A994-49FF-89F1-AC89CC28E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4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</calcChain>
</file>

<file path=xl/sharedStrings.xml><?xml version="1.0" encoding="utf-8"?>
<sst xmlns="http://schemas.openxmlformats.org/spreadsheetml/2006/main" count="940" uniqueCount="502">
  <si>
    <t>NOME</t>
  </si>
  <si>
    <t>MATRICULA</t>
  </si>
  <si>
    <t>CHAVE</t>
  </si>
  <si>
    <t>DATA_INICIO</t>
  </si>
  <si>
    <t>NOME_FUNCAO</t>
  </si>
  <si>
    <t>SIGLA_LOTACAO</t>
  </si>
  <si>
    <t>NOME_LOTACAO</t>
  </si>
  <si>
    <t>NOME_CARGO</t>
  </si>
  <si>
    <t>NOME_ENFASE</t>
  </si>
  <si>
    <t>EMAIL</t>
  </si>
  <si>
    <t>DATA_ATUALIZACAO</t>
  </si>
  <si>
    <t>FOTO_LOCALIZADOR_PESSOA</t>
  </si>
  <si>
    <t>ATILA FERREIRA PESSOA</t>
  </si>
  <si>
    <t>F3S1</t>
  </si>
  <si>
    <t>null</t>
  </si>
  <si>
    <t>RES/TR/AR</t>
  </si>
  <si>
    <t>AVALIAÇÃO DE RESERVATÓRIOS</t>
  </si>
  <si>
    <t>Prof. Petrobras de Nivel Superior Junior</t>
  </si>
  <si>
    <t>PCR NS Geologia</t>
  </si>
  <si>
    <t>atila.pessoa@petrobras.com.br</t>
  </si>
  <si>
    <t>https://rondafotosp.petrobras.com.br/04607160</t>
  </si>
  <si>
    <t>Adria Naiff Guimaraes</t>
  </si>
  <si>
    <t>XMDF</t>
  </si>
  <si>
    <t>AGP/RES-EE/CT/AR</t>
  </si>
  <si>
    <t>Prof. Petrobras de Nivel Superior Senior</t>
  </si>
  <si>
    <t>PCR NS Engenharia de Petroleo</t>
  </si>
  <si>
    <t>anaiff@petrobras.com.br</t>
  </si>
  <si>
    <t>https://rondafotosp.petrobras.com.br/09732577</t>
  </si>
  <si>
    <t>Alcides da Costa Lino Neto</t>
  </si>
  <si>
    <t>BFI2</t>
  </si>
  <si>
    <t>TAR/RES-EE/OPCT</t>
  </si>
  <si>
    <t>OPORTUNIDADES, PROJETOS E COMPETÊNCIAS TÉCNICAS</t>
  </si>
  <si>
    <t>alcides.neto@petrobras.com.br</t>
  </si>
  <si>
    <t>https://rondafotosp.petrobras.com.br/09917547</t>
  </si>
  <si>
    <t>Alexandre Coimbra de Oliveira</t>
  </si>
  <si>
    <t>BFS7</t>
  </si>
  <si>
    <t>AGUP/RES-EE/CT/AR</t>
  </si>
  <si>
    <t>coimbraalexandre@petrobras.com.br</t>
  </si>
  <si>
    <t>https://rondafotosp.petrobras.com.br/09917283</t>
  </si>
  <si>
    <t>Aline Christianne Brasil Caires</t>
  </si>
  <si>
    <t>U3GA</t>
  </si>
  <si>
    <t>aline.caires@petrobras.com.br</t>
  </si>
  <si>
    <t>https://rondafotosp.petrobras.com.br/09903205</t>
  </si>
  <si>
    <t>Ana Augusta Goncalves Meira</t>
  </si>
  <si>
    <t>IM96</t>
  </si>
  <si>
    <t>Consultor(a)</t>
  </si>
  <si>
    <t>Prof. Petrobras de Nivel Superior Master</t>
  </si>
  <si>
    <t>anameira@petrobras.com.br</t>
  </si>
  <si>
    <t>https://rondafotosp.petrobras.com.br/00184527</t>
  </si>
  <si>
    <t>Ana Luisa Maciel</t>
  </si>
  <si>
    <t>U3HO</t>
  </si>
  <si>
    <t>Gerente Setorial</t>
  </si>
  <si>
    <t>ana.maciel@petrobras.com.br</t>
  </si>
  <si>
    <t>https://rondafotosp.petrobras.com.br/09914742</t>
  </si>
  <si>
    <t>Ana Paula Martins de Souza</t>
  </si>
  <si>
    <t>ENJM</t>
  </si>
  <si>
    <t>Gerente Geral</t>
  </si>
  <si>
    <t>BUZIOS/RES-EE</t>
  </si>
  <si>
    <t>RESERVATORIOS, ELEVACAO E ESCOAMENTO</t>
  </si>
  <si>
    <t>anapaulams@petrobras.com.br</t>
  </si>
  <si>
    <t>https://rondafotosp.petrobras.com.br/09733598</t>
  </si>
  <si>
    <t>Anderson Rafael Rezende Alves</t>
  </si>
  <si>
    <t>LDB1</t>
  </si>
  <si>
    <t>BUZIOS/RES-EE/RES-CT</t>
  </si>
  <si>
    <t>RESERVATORIOS - COMPETENCIAS TECNICAS</t>
  </si>
  <si>
    <t>anderson.rezende@petrobras.com.br</t>
  </si>
  <si>
    <t>https://rondafotosp.petrobras.com.br/09872285</t>
  </si>
  <si>
    <t>Andre Luis Fernandes da Silva de Souza</t>
  </si>
  <si>
    <t>UPBB</t>
  </si>
  <si>
    <t>andre.luis.souza@petrobras.com.br</t>
  </si>
  <si>
    <t>https://rondafotosp.petrobras.com.br/09765836</t>
  </si>
  <si>
    <t>André Luiz Martins Compan</t>
  </si>
  <si>
    <t>CXKE</t>
  </si>
  <si>
    <t>CENPES/PDIEP/TAE/TRESP</t>
  </si>
  <si>
    <t>TECNOLOGIAS DE RESERVATÓRIOS E PETROFÍSICA</t>
  </si>
  <si>
    <t>andrecompan@petrobras.com.br</t>
  </si>
  <si>
    <t>https://rondafotosp.petrobras.com.br/09630991</t>
  </si>
  <si>
    <t>Augusto Andre Vieira Machado</t>
  </si>
  <si>
    <t>CLRN</t>
  </si>
  <si>
    <t>aandrevm@petrobras.com.br</t>
  </si>
  <si>
    <t>https://rondafotosp.petrobras.com.br/00227292</t>
  </si>
  <si>
    <t>Augusto Pinheiro de Moraes Rego</t>
  </si>
  <si>
    <t>CLV7</t>
  </si>
  <si>
    <t>augusto_rego@petrobras.com.br</t>
  </si>
  <si>
    <t>https://rondafotosp.petrobras.com.br/00227311</t>
  </si>
  <si>
    <t>Bernardo Coutinho Camilo dos Santos</t>
  </si>
  <si>
    <t>U3H9</t>
  </si>
  <si>
    <t>PCR NS Geofisica Fisica</t>
  </si>
  <si>
    <t>bernardo.coutinho@petrobras.com.br</t>
  </si>
  <si>
    <t>https://rondafotosp.petrobras.com.br/09912275</t>
  </si>
  <si>
    <t>Bruno Costa Pontes</t>
  </si>
  <si>
    <t>BG4C</t>
  </si>
  <si>
    <t>brunocostapontes@petrobras.com.br</t>
  </si>
  <si>
    <t>https://rondafotosp.petrobras.com.br/02450670</t>
  </si>
  <si>
    <t>Bruno Tosta Bittencourt</t>
  </si>
  <si>
    <t>RM4E</t>
  </si>
  <si>
    <t>EXP/OGP/AFP</t>
  </si>
  <si>
    <t>AVALIAÇÃO DE FORMAÇÕES E PETROFÍSICA</t>
  </si>
  <si>
    <t>brunobittencourt@petrobras.com.br</t>
  </si>
  <si>
    <t>https://rondafotosp.petrobras.com.br/01390566</t>
  </si>
  <si>
    <t>Cecilia Toledo de Azevedo</t>
  </si>
  <si>
    <t>NTIH</t>
  </si>
  <si>
    <t>POCOS/SPO/PEP</t>
  </si>
  <si>
    <t>PROJETO ESPECIALIZADO DE POCO</t>
  </si>
  <si>
    <t>cecilia_toledo@petrobras.com.br</t>
  </si>
  <si>
    <t>https://rondafotosp.petrobras.com.br/09732995</t>
  </si>
  <si>
    <t>Celso de Almeida Magalhaes</t>
  </si>
  <si>
    <t>CTUA</t>
  </si>
  <si>
    <t>Gerente</t>
  </si>
  <si>
    <t>AGUP/RES-EE/CT</t>
  </si>
  <si>
    <t>COMPETÊNCIAS TÉCNICAS DE RESERVATÓRIOS, ELEVAÇÃO E ESCOAMENTO</t>
  </si>
  <si>
    <t>cmagalhaes@petrobras.com.br</t>
  </si>
  <si>
    <t>https://rondafotosp.petrobras.com.br/00211522</t>
  </si>
  <si>
    <t>Conrado Keidel</t>
  </si>
  <si>
    <t>CTUB</t>
  </si>
  <si>
    <t>Consultor(a) Senior</t>
  </si>
  <si>
    <t>conradokeidel@petrobras.com.br</t>
  </si>
  <si>
    <t>https://rondafotosp.petrobras.com.br/00211699</t>
  </si>
  <si>
    <t>Cristian Douglas Pimenta</t>
  </si>
  <si>
    <t>BGV8</t>
  </si>
  <si>
    <t>cristianpimenta@petrobras.com.br</t>
  </si>
  <si>
    <t>https://rondafotosp.petrobras.com.br/02451304</t>
  </si>
  <si>
    <t>Daniel Dargan Cordeiro</t>
  </si>
  <si>
    <t>CXVF</t>
  </si>
  <si>
    <t>RES/TR</t>
  </si>
  <si>
    <t>TECNOLOGIAS DE RESERVATÓRIOS</t>
  </si>
  <si>
    <t>daniel.cordeiro@petrobras.com.br</t>
  </si>
  <si>
    <t>https://rondafotosp.petrobras.com.br/09628983</t>
  </si>
  <si>
    <t>Daniel Folador Rossi</t>
  </si>
  <si>
    <t>BG0H</t>
  </si>
  <si>
    <t>dan.folador@petrobras.com.br</t>
  </si>
  <si>
    <t>https://rondafotosp.petrobras.com.br/02450880</t>
  </si>
  <si>
    <t>Danilo Sousa de Oliveira</t>
  </si>
  <si>
    <t>BFX1</t>
  </si>
  <si>
    <t>LIBRA/RES-EE/CT</t>
  </si>
  <si>
    <t>COMPETÊNCIAS TÉCNICAS</t>
  </si>
  <si>
    <t>danilooliveira@petrobras.com.br</t>
  </si>
  <si>
    <t>https://rondafotosp.petrobras.com.br/09916606</t>
  </si>
  <si>
    <t>Dayana Nunes e Silva</t>
  </si>
  <si>
    <t>FRBV</t>
  </si>
  <si>
    <t>POCOS/SPO/PEP/PROJ-CA</t>
  </si>
  <si>
    <t>PROJETO ESPECIALIZADO DE COMPLETACAO E AVALIACAO</t>
  </si>
  <si>
    <t>dayana@petrobras.com.br</t>
  </si>
  <si>
    <t>https://rondafotosp.petrobras.com.br/09733304</t>
  </si>
  <si>
    <t>Dayvison Carlos de Campos Carvalho</t>
  </si>
  <si>
    <t>BBU7</t>
  </si>
  <si>
    <t>EXP/OGP/AQG</t>
  </si>
  <si>
    <t>AQUISIÇÃO DE DADOS GEOLÓGICOS</t>
  </si>
  <si>
    <t>dayvisoncarvalho@petrobras.com.br</t>
  </si>
  <si>
    <t>https://rondafotosp.petrobras.com.br/02413281</t>
  </si>
  <si>
    <t>Diego Chagas Garcia</t>
  </si>
  <si>
    <t>CYGW</t>
  </si>
  <si>
    <t>diegocgarcia@petrobras.com.br</t>
  </si>
  <si>
    <t>https://rondafotosp.petrobras.com.br/09757930</t>
  </si>
  <si>
    <t>Edmir Ravazzi Franco Ramos</t>
  </si>
  <si>
    <t>U328</t>
  </si>
  <si>
    <t>CENPES/PDIEP/GP</t>
  </si>
  <si>
    <t>GEOFÍSICA E PETROFISICA</t>
  </si>
  <si>
    <t>edmir.ravazzi@petrobras.com.br</t>
  </si>
  <si>
    <t>https://rondafotosp.petrobras.com.br/02414554</t>
  </si>
  <si>
    <t>Eduarda Cristina Mangaravite da Silva Lacerda</t>
  </si>
  <si>
    <t>GACA</t>
  </si>
  <si>
    <t>eduarda.lacerda@petrobras.com.br</t>
  </si>
  <si>
    <t>https://rondafotosp.petrobras.com.br/09728830</t>
  </si>
  <si>
    <t>Eduardo Augusto Puntel de Oliveira</t>
  </si>
  <si>
    <t>FN14</t>
  </si>
  <si>
    <t>epuntel@petrobras.com.br</t>
  </si>
  <si>
    <t>https://rondafotosp.petrobras.com.br/00322387</t>
  </si>
  <si>
    <t>Eduardo Barreto Oliveira</t>
  </si>
  <si>
    <t>UR8Z</t>
  </si>
  <si>
    <t>eduardo.oliveira@petrobras.com.br</t>
  </si>
  <si>
    <t>https://rondafotosp.petrobras.com.br/09860540</t>
  </si>
  <si>
    <t>Eduardo Mezzomo</t>
  </si>
  <si>
    <t>UPBH</t>
  </si>
  <si>
    <t>eduardo.mezzomo@petrobras.com.br</t>
  </si>
  <si>
    <t>https://rondafotosp.petrobras.com.br/09768132</t>
  </si>
  <si>
    <t>Eldson Jony Goncalves de Freitas</t>
  </si>
  <si>
    <t>CJ53</t>
  </si>
  <si>
    <t>RH/UP/PG/RES-EE</t>
  </si>
  <si>
    <t>ACADEMIA DE RESERVATÓRIOS &amp; ELEVAÇÃO E ESCOAMENTO</t>
  </si>
  <si>
    <t>eldson@petrobras.com.br</t>
  </si>
  <si>
    <t>https://rondafotosp.petrobras.com.br/09655451</t>
  </si>
  <si>
    <t>Emilio Jose Rocha Coutinho</t>
  </si>
  <si>
    <t>CJ54</t>
  </si>
  <si>
    <t>CENPES/PDIEP/RES-EE/ERG</t>
  </si>
  <si>
    <t>ENGENHARIA DE RESERVATÓRIOS E GEOMECÂNICA</t>
  </si>
  <si>
    <t>emiliocoutinho@petrobras.com.br</t>
  </si>
  <si>
    <t>https://rondafotosp.petrobras.com.br/09654208</t>
  </si>
  <si>
    <t>FELLIPHE GOES FERNANDES BARBOSA</t>
  </si>
  <si>
    <t>F0NI</t>
  </si>
  <si>
    <t>RES/GDTD/TD</t>
  </si>
  <si>
    <t>TRANSFORMAÇÃO DIGITAL</t>
  </si>
  <si>
    <t>PCR NS Ciencia de Dados</t>
  </si>
  <si>
    <t>felliphe.barbosa@petrobras.com.br</t>
  </si>
  <si>
    <t>https://rondafotosp.petrobras.com.br/04606756</t>
  </si>
  <si>
    <t>Fabio Luiz de Moraes Silva</t>
  </si>
  <si>
    <t>CLXC</t>
  </si>
  <si>
    <t>Geologo(a) Senior</t>
  </si>
  <si>
    <t>PCAC NS Geologia</t>
  </si>
  <si>
    <t>fabio.geo@petrobras.com.br</t>
  </si>
  <si>
    <t>https://rondafotosp.petrobras.com.br/00228319</t>
  </si>
  <si>
    <t>Fabio Miranda Ribeiro</t>
  </si>
  <si>
    <t>U4GE</t>
  </si>
  <si>
    <t>AGP/RES-EE/OPR/MLS</t>
  </si>
  <si>
    <t>OPORTUNIDADES E PROJETOS DE MARLIM SUL</t>
  </si>
  <si>
    <t>ribeirof@petrobras.com.br</t>
  </si>
  <si>
    <t>https://rondafotosp.petrobras.com.br/02449148</t>
  </si>
  <si>
    <t>Fabrício D Azevedo Alves de Miranda</t>
  </si>
  <si>
    <t>CJ95</t>
  </si>
  <si>
    <t>mirandaf@petrobras.com.br</t>
  </si>
  <si>
    <t>https://rondafotosp.petrobras.com.br/09654859</t>
  </si>
  <si>
    <t>Fatima Andreia de Freitas Brazil</t>
  </si>
  <si>
    <t>B89L</t>
  </si>
  <si>
    <t>ffb@petrobras.com.br</t>
  </si>
  <si>
    <t>https://rondafotosp.petrobras.com.br/09766704</t>
  </si>
  <si>
    <t>Fernando Nascimento Coelho</t>
  </si>
  <si>
    <t>BHL3</t>
  </si>
  <si>
    <t>nascimentofnc@petrobras.com.br</t>
  </si>
  <si>
    <t>https://rondafotosp.petrobras.com.br/02495626</t>
  </si>
  <si>
    <t>Filipe Ramos de Albuquerque</t>
  </si>
  <si>
    <t>C5EE</t>
  </si>
  <si>
    <t>Prof. Petrobras de Nivel Superior Pleno</t>
  </si>
  <si>
    <t>filipe.albuquerque@petrobras.com.br</t>
  </si>
  <si>
    <t>https://rondafotosp.petrobras.com.br/02564280</t>
  </si>
  <si>
    <t>Francileide Gomes da Costa</t>
  </si>
  <si>
    <t>B00Q</t>
  </si>
  <si>
    <t>PCR NS Quimica de Petroleo</t>
  </si>
  <si>
    <t>francileide@petrobras.com.br</t>
  </si>
  <si>
    <t>https://rondafotosp.petrobras.com.br/09786463</t>
  </si>
  <si>
    <t>GABRIEL VIVACQUA BADIOLA</t>
  </si>
  <si>
    <t>F3R0</t>
  </si>
  <si>
    <t>gabriel.badiola@petrobras.com.br</t>
  </si>
  <si>
    <t>https://rondafotosp.petrobras.com.br/04606960</t>
  </si>
  <si>
    <t>GUSTAVO SANTANA DE SOUZA</t>
  </si>
  <si>
    <t>DVGA</t>
  </si>
  <si>
    <t>gustavo.s.souza@petrobras.com.br</t>
  </si>
  <si>
    <t>https://rondafotosp.petrobras.com.br/04604458</t>
  </si>
  <si>
    <t>Gabriel Luiz Perez Vieira</t>
  </si>
  <si>
    <t>CY1G</t>
  </si>
  <si>
    <t>glperez@petrobras.com.br</t>
  </si>
  <si>
    <t>https://rondafotosp.petrobras.com.br/09756540</t>
  </si>
  <si>
    <t>Gabriel Sarantopoulos Bergamaschi</t>
  </si>
  <si>
    <t>U3GO</t>
  </si>
  <si>
    <t>Coordenador(a)</t>
  </si>
  <si>
    <t>gbergamaschi@petrobras.com.br</t>
  </si>
  <si>
    <t>https://rondafotosp.petrobras.com.br/09902270</t>
  </si>
  <si>
    <t>Guilherme Ruzza Schuck</t>
  </si>
  <si>
    <t>U4XY</t>
  </si>
  <si>
    <t>guilherme.schuck@petrobras.com.br</t>
  </si>
  <si>
    <t>https://rondafotosp.petrobras.com.br/02478482</t>
  </si>
  <si>
    <t>Guilherme de Almeida Fernandes</t>
  </si>
  <si>
    <t>CTW6</t>
  </si>
  <si>
    <t>gafig@petrobras.com.br</t>
  </si>
  <si>
    <t>https://rondafotosp.petrobras.com.br/00212820</t>
  </si>
  <si>
    <t>ISABELA DO NASCIMENTO BOREL</t>
  </si>
  <si>
    <t>FEYU</t>
  </si>
  <si>
    <t>isabela.borel@petrobras.com.br</t>
  </si>
  <si>
    <t>https://rondafotosp.petrobras.com.br/04609163</t>
  </si>
  <si>
    <t>JOCENRIQUE CARLO DE OLIVEIRA RIOS FILHO</t>
  </si>
  <si>
    <t>FEUK</t>
  </si>
  <si>
    <t>jocenrique.rios@petrobras.com.br</t>
  </si>
  <si>
    <t>https://rondafotosp.petrobras.com.br/04609228</t>
  </si>
  <si>
    <t>JULIANA FERNANDES BONIFACIO</t>
  </si>
  <si>
    <t>FH0J</t>
  </si>
  <si>
    <t>juliana.bonifacio@petrobras.com.br</t>
  </si>
  <si>
    <t>https://rondafotosp.petrobras.com.br/04609580</t>
  </si>
  <si>
    <t>Jefferson Luis da Silva</t>
  </si>
  <si>
    <t>NT90</t>
  </si>
  <si>
    <t>RES/GDTD/GDS</t>
  </si>
  <si>
    <t>GESTÃO DE DADOS E SISTEMAS</t>
  </si>
  <si>
    <t>PCR NS Analise de Sistemas Eng Software</t>
  </si>
  <si>
    <t>jeffersonlsilva@petrobras.com.br</t>
  </si>
  <si>
    <t>https://rondafotosp.petrobras.com.br/09781375</t>
  </si>
  <si>
    <t>Joao Bosco Dias Marques</t>
  </si>
  <si>
    <t>DF0V</t>
  </si>
  <si>
    <t>jbmarques@petrobras.com.br</t>
  </si>
  <si>
    <t>https://rondafotosp.petrobras.com.br/06204498</t>
  </si>
  <si>
    <t>Jose Geraldo Ferroni</t>
  </si>
  <si>
    <t>BU7G</t>
  </si>
  <si>
    <t>POCOS/CAAP-EX/PROJ/PROJ-I</t>
  </si>
  <si>
    <t>PROJETOS DE POCO I</t>
  </si>
  <si>
    <t>ferroni@petrobras.com.br</t>
  </si>
  <si>
    <t>https://rondafotosp.petrobras.com.br/00209471</t>
  </si>
  <si>
    <t>João Paulo Pereira Nunes</t>
  </si>
  <si>
    <t>GOB0</t>
  </si>
  <si>
    <t>jppn@petrobras.com.br</t>
  </si>
  <si>
    <t>https://rondafotosp.petrobras.com.br/09727137</t>
  </si>
  <si>
    <t>João Paulo Teixeira da Fonseca</t>
  </si>
  <si>
    <t>GOF6</t>
  </si>
  <si>
    <t>jpfonseca@petrobras.com.br</t>
  </si>
  <si>
    <t>https://rondafotosp.petrobras.com.br/09731998</t>
  </si>
  <si>
    <t>Klayton Jonne Vieira de Melo</t>
  </si>
  <si>
    <t>GOE3</t>
  </si>
  <si>
    <t>klaytonjonne@petrobras.com.br</t>
  </si>
  <si>
    <t>https://rondafotosp.petrobras.com.br/09730523</t>
  </si>
  <si>
    <t>LUCAS ANTONIO PEREIRA DE MELO</t>
  </si>
  <si>
    <t>FETW</t>
  </si>
  <si>
    <t>lucas.a.melo@petrobras.com.br</t>
  </si>
  <si>
    <t>https://rondafotosp.petrobras.com.br/04609097</t>
  </si>
  <si>
    <t>Lenita de Souza Fioriti</t>
  </si>
  <si>
    <t>U4X2</t>
  </si>
  <si>
    <t>lenita.fioriti@petrobras.com.br</t>
  </si>
  <si>
    <t>https://rondafotosp.petrobras.com.br/02478088</t>
  </si>
  <si>
    <t>Leonardo Andre Fraga Bonzanini</t>
  </si>
  <si>
    <t>LSUD</t>
  </si>
  <si>
    <t>bonzanini@petrobras.com.br</t>
  </si>
  <si>
    <t>https://rondafotosp.petrobras.com.br/09679504</t>
  </si>
  <si>
    <t>Leonardo Goncalves</t>
  </si>
  <si>
    <t>BSN1</t>
  </si>
  <si>
    <t>leonardo.g@petrobras.com.br</t>
  </si>
  <si>
    <t>https://rondafotosp.petrobras.com.br/09736970</t>
  </si>
  <si>
    <t>Leonardo Kenji Kubota</t>
  </si>
  <si>
    <t>BFY4</t>
  </si>
  <si>
    <t>lkubota@petrobras.com.br</t>
  </si>
  <si>
    <t>https://rondafotosp.petrobras.com.br/09916182</t>
  </si>
  <si>
    <t>Leonardo Osório Pelisoli</t>
  </si>
  <si>
    <t>BETM</t>
  </si>
  <si>
    <t>lopelisoli@petrobras.com.br</t>
  </si>
  <si>
    <t>https://rondafotosp.petrobras.com.br/09887354</t>
  </si>
  <si>
    <t>Leonardo Souza Rodrigues</t>
  </si>
  <si>
    <t>UPCH</t>
  </si>
  <si>
    <t>leonardo.rodrigues@petrobras.com.br</t>
  </si>
  <si>
    <t>https://rondafotosp.petrobras.com.br/09765770</t>
  </si>
  <si>
    <t>Lourenço Barbosa Keuper</t>
  </si>
  <si>
    <t>CJI0</t>
  </si>
  <si>
    <t>keuper@petrobras.com.br</t>
  </si>
  <si>
    <t>https://rondafotosp.petrobras.com.br/09654614</t>
  </si>
  <si>
    <t>Luma Botelho de Souza</t>
  </si>
  <si>
    <t>U41Q</t>
  </si>
  <si>
    <t>lumabotelho@petrobras.com.br</t>
  </si>
  <si>
    <t>https://rondafotosp.petrobras.com.br/02468151</t>
  </si>
  <si>
    <t>MARCIO VALDEMAR SANTANA TEIXEIRA</t>
  </si>
  <si>
    <t>PLZ7</t>
  </si>
  <si>
    <t>marcio.valdemar@petrobras.com.br</t>
  </si>
  <si>
    <t>https://rondafotosp.petrobras.com.br/04609399</t>
  </si>
  <si>
    <t>MARCOS VINICIUS SUGUINO</t>
  </si>
  <si>
    <t>DVHR</t>
  </si>
  <si>
    <t>marcos.suguino@petrobras.com.br</t>
  </si>
  <si>
    <t>https://rondafotosp.petrobras.com.br/04604529</t>
  </si>
  <si>
    <t>MATHEUS MONTEIRO WERNECK DE SOUZA</t>
  </si>
  <si>
    <t>AV6R</t>
  </si>
  <si>
    <t>AGP/RES-EE/OPR/MRL-AB</t>
  </si>
  <si>
    <t>OPORTUNIDADES E PROJETOS DE MARLIM E ALBACORA</t>
  </si>
  <si>
    <t>matheuswerneck@petrobras.com.br</t>
  </si>
  <si>
    <t>https://rondafotosp.petrobras.com.br/04609576</t>
  </si>
  <si>
    <t>Margareth da Silva Brasil Guimarães</t>
  </si>
  <si>
    <t>CQE8</t>
  </si>
  <si>
    <t>Geologo(a) Pleno</t>
  </si>
  <si>
    <t>megbrasil@petrobras.com.br</t>
  </si>
  <si>
    <t>https://rondafotosp.petrobras.com.br/09693180</t>
  </si>
  <si>
    <t>Maria Assuncao Fontenele Soares Doria</t>
  </si>
  <si>
    <t>RA01</t>
  </si>
  <si>
    <t>Gerente Executivo(a)</t>
  </si>
  <si>
    <t>RES</t>
  </si>
  <si>
    <t>RESERVATÓRIOS</t>
  </si>
  <si>
    <t>assuncao@petrobras.com.br</t>
  </si>
  <si>
    <t>https://rondafotosp.petrobras.com.br/00324485</t>
  </si>
  <si>
    <t>Mauricio da Silva Cunha Galvão</t>
  </si>
  <si>
    <t>EU8M</t>
  </si>
  <si>
    <t>mauricio.galvao@petrobras.com.br</t>
  </si>
  <si>
    <t>https://rondafotosp.petrobras.com.br/09915310</t>
  </si>
  <si>
    <t>Monica Marques da Fonseca</t>
  </si>
  <si>
    <t>CTQ4</t>
  </si>
  <si>
    <t>monicafonseca@petrobras.com.br</t>
  </si>
  <si>
    <t>https://rondafotosp.petrobras.com.br/00214782</t>
  </si>
  <si>
    <t>NATHAN GAZON DA SILVA</t>
  </si>
  <si>
    <t>FEXE</t>
  </si>
  <si>
    <t>nathan.gazon@petrobras.com.br</t>
  </si>
  <si>
    <t>https://rondafotosp.petrobras.com.br/04609122</t>
  </si>
  <si>
    <t>Neyma Kurtz Azambuja</t>
  </si>
  <si>
    <t>US4E</t>
  </si>
  <si>
    <t>neyma.azambuja@petrobras.com.br</t>
  </si>
  <si>
    <t>https://rondafotosp.petrobras.com.br/09860250</t>
  </si>
  <si>
    <t>Octavio Machado Neto</t>
  </si>
  <si>
    <t>DAL2</t>
  </si>
  <si>
    <t>octavioneto@petrobras.com.br</t>
  </si>
  <si>
    <t>https://rondafotosp.petrobras.com.br/00185051</t>
  </si>
  <si>
    <t>PAULA THAIS DA SILVA NASCIMENTO</t>
  </si>
  <si>
    <t>EVPB</t>
  </si>
  <si>
    <t>paula.thais@petrobras.com.br</t>
  </si>
  <si>
    <t>https://rondafotosp.petrobras.com.br/04606266</t>
  </si>
  <si>
    <t>PAULO RICARDO RIEDEL</t>
  </si>
  <si>
    <t>EVOP</t>
  </si>
  <si>
    <t>paulo.riedel@petrobras.com.br</t>
  </si>
  <si>
    <t>https://rondafotosp.petrobras.com.br/04606271</t>
  </si>
  <si>
    <t>Paulo Roberto Alves Netto</t>
  </si>
  <si>
    <t>CXL1</t>
  </si>
  <si>
    <t>pnetto@petrobras.com.br</t>
  </si>
  <si>
    <t>https://rondafotosp.petrobras.com.br/09629513</t>
  </si>
  <si>
    <t>Pedro Henrique Walter</t>
  </si>
  <si>
    <t>U4RU</t>
  </si>
  <si>
    <t>pedrowalter@petrobras.com.br</t>
  </si>
  <si>
    <t>https://rondafotosp.petrobras.com.br/02438091</t>
  </si>
  <si>
    <t>Rafael Rabelo Melo</t>
  </si>
  <si>
    <t>UT7P</t>
  </si>
  <si>
    <t>rafaelrm@petrobras.com.br</t>
  </si>
  <si>
    <t>https://rondafotosp.petrobras.com.br/09871750</t>
  </si>
  <si>
    <t>Ramir Pimentel</t>
  </si>
  <si>
    <t>CY1H</t>
  </si>
  <si>
    <t>EXP/OGP/PAGP</t>
  </si>
  <si>
    <t>PROJETOS DE AQUISIÇÃO GEOLÓGICA EM POÇOS</t>
  </si>
  <si>
    <t>pimentel.ramir@petrobras.com.br</t>
  </si>
  <si>
    <t>https://rondafotosp.petrobras.com.br/09758083</t>
  </si>
  <si>
    <t>Raphael Augusto Mello Vieira</t>
  </si>
  <si>
    <t>BU8D</t>
  </si>
  <si>
    <t>CENPES/PDIEP/TAE/TREE</t>
  </si>
  <si>
    <t>TECNOLOGIAS PARA RECUPERAÇÃO E ELEVAÇÃO E ESCOAMENTO</t>
  </si>
  <si>
    <t>ramv@petrobras.com.br</t>
  </si>
  <si>
    <t>https://rondafotosp.petrobras.com.br/00204045</t>
  </si>
  <si>
    <t>Rewbenio Araújo Frota</t>
  </si>
  <si>
    <t>CJ78</t>
  </si>
  <si>
    <t>rewbenio@petrobras.com.br</t>
  </si>
  <si>
    <t>https://rondafotosp.petrobras.com.br/09654903</t>
  </si>
  <si>
    <t>Rita Parisi Conde Pozzi</t>
  </si>
  <si>
    <t>CTQY</t>
  </si>
  <si>
    <t>AGP/RES-EE/CT</t>
  </si>
  <si>
    <t>rconde@petrobras.com.br</t>
  </si>
  <si>
    <t>https://rondafotosp.petrobras.com.br/00215350</t>
  </si>
  <si>
    <t>Roberto Rutsatz Salomoni</t>
  </si>
  <si>
    <t>U4QJ</t>
  </si>
  <si>
    <t>robertosalomoni@petrobras.com.br</t>
  </si>
  <si>
    <t>https://rondafotosp.petrobras.com.br/02468102</t>
  </si>
  <si>
    <t>Rodolfo Cunha Belem</t>
  </si>
  <si>
    <t>MONB</t>
  </si>
  <si>
    <t>POCOS/SPO/SP/PAD</t>
  </si>
  <si>
    <t>PERFURACAO E AQUISICAO DE DADOS GEOLOGICOS</t>
  </si>
  <si>
    <t>Prof. Petrobras de Nivel Tecnico Master</t>
  </si>
  <si>
    <t>PCR NT Operacao</t>
  </si>
  <si>
    <t>rodolfocunha@petrobras.com.br</t>
  </si>
  <si>
    <t>https://rondafotosp.petrobras.com.br/09783946</t>
  </si>
  <si>
    <t>Rodrigo Borges de Oliveira</t>
  </si>
  <si>
    <t>CQD5</t>
  </si>
  <si>
    <t>rodrig0@petrobras.com.br</t>
  </si>
  <si>
    <t>https://rondafotosp.petrobras.com.br/09694648</t>
  </si>
  <si>
    <t>Rodrigo Skinner</t>
  </si>
  <si>
    <t>RQQ0</t>
  </si>
  <si>
    <t>rodrigoskinner@petrobras.com.br</t>
  </si>
  <si>
    <t>https://rondafotosp.petrobras.com.br/09608799</t>
  </si>
  <si>
    <t>Rodrigo Surmas</t>
  </si>
  <si>
    <t>BEMW</t>
  </si>
  <si>
    <t>surmas@petrobras.com.br</t>
  </si>
  <si>
    <t>https://rondafotosp.petrobras.com.br/09857940</t>
  </si>
  <si>
    <t>Ronaldo Herlinger Junior</t>
  </si>
  <si>
    <t>UR93</t>
  </si>
  <si>
    <t>ronaldo.herlinger@petrobras.com.br</t>
  </si>
  <si>
    <t>https://rondafotosp.petrobras.com.br/09861098</t>
  </si>
  <si>
    <t>Santiago Perez Toledo</t>
  </si>
  <si>
    <t>BFV9</t>
  </si>
  <si>
    <t>santiagotoledo@petrobras.com.br</t>
  </si>
  <si>
    <t>https://rondafotosp.petrobras.com.br/09914490</t>
  </si>
  <si>
    <t>THIAGO CAMPANATE POYARES DA ROCHA</t>
  </si>
  <si>
    <t>EVGI</t>
  </si>
  <si>
    <t>thiago.campanate@petrobras.com.br</t>
  </si>
  <si>
    <t>https://rondafotosp.petrobras.com.br/04606029</t>
  </si>
  <si>
    <t>THIAGO SOMOLINOS SOLDANI</t>
  </si>
  <si>
    <t>F3TH</t>
  </si>
  <si>
    <t>thiago.soldani@petrobras.com.br</t>
  </si>
  <si>
    <t>https://rondafotosp.petrobras.com.br/04607158</t>
  </si>
  <si>
    <t>Thaissa Diirr Pinto de Medeiros</t>
  </si>
  <si>
    <t>Y28K</t>
  </si>
  <si>
    <t>EXP/OGP/GDOGP</t>
  </si>
  <si>
    <t>GESTÃO DE DADOS DE OPERAÇÕES GEOLÓGICAS E PETROFÍSICA</t>
  </si>
  <si>
    <t>PCR NS Analise de Sistemas Proc Negocios</t>
  </si>
  <si>
    <t>thaissadiirr@petrobras.com.br</t>
  </si>
  <si>
    <t>https://rondafotosp.petrobras.com.br/02464778</t>
  </si>
  <si>
    <t>Thiago Dambrosio Ferreira</t>
  </si>
  <si>
    <t>U3KL</t>
  </si>
  <si>
    <t>thiago.dambrosio@petrobras.com.br</t>
  </si>
  <si>
    <t>https://rondafotosp.petrobras.com.br/09912240</t>
  </si>
  <si>
    <t>Thiago Moura da Silva Rosado</t>
  </si>
  <si>
    <t>CQF8</t>
  </si>
  <si>
    <t>thiago.rosado@petrobras.com.br</t>
  </si>
  <si>
    <t>https://rondafotosp.petrobras.com.br/09695159</t>
  </si>
  <si>
    <t>Tiago Almeida Costa</t>
  </si>
  <si>
    <t>CJ79</t>
  </si>
  <si>
    <t>tiagocosta@petrobras.com.br</t>
  </si>
  <si>
    <t>https://rondafotosp.petrobras.com.br/09655426</t>
  </si>
  <si>
    <t>UESLLEI BENEVIDES DEMANI</t>
  </si>
  <si>
    <t>FGWH</t>
  </si>
  <si>
    <t>udemani@petrobras.com.br</t>
  </si>
  <si>
    <t>https://rondafotosp.petrobras.com.br/04609597</t>
  </si>
  <si>
    <t>Valerio Picorelli Ladeira Dutra</t>
  </si>
  <si>
    <t>U4HH</t>
  </si>
  <si>
    <t>valerio.dutra@petrobras.com.br</t>
  </si>
  <si>
    <t>https://rondafotosp.petrobras.com.br/02451574</t>
  </si>
  <si>
    <t>Victor da Fonseca Monteiro</t>
  </si>
  <si>
    <t>U3K2</t>
  </si>
  <si>
    <t>victor.monteiro@petrobras.com.br</t>
  </si>
  <si>
    <t>https://rondafotosp.petrobras.com.br/09913954</t>
  </si>
  <si>
    <t>Willian Andrighetto Trevizan</t>
  </si>
  <si>
    <t>U33Q</t>
  </si>
  <si>
    <t>williantrevizan@petrobras.com.br</t>
  </si>
  <si>
    <t>https://rondafotosp.petrobras.com.br/02412352</t>
  </si>
  <si>
    <t>Willy Viana Bohn</t>
  </si>
  <si>
    <t>U4YJ</t>
  </si>
  <si>
    <t>willybohn@petrobras.com.br</t>
  </si>
  <si>
    <t>https://rondafotosp.petrobras.com.br/02478826</t>
  </si>
  <si>
    <t>URL</t>
  </si>
  <si>
    <t>GLÊNIO ROSINSKI RIBEIRO</t>
  </si>
  <si>
    <t>A0YO</t>
  </si>
  <si>
    <t>glenio.ribeiro.prestserv@petrobras.com.br</t>
  </si>
  <si>
    <t>https://rondafotosp.petrobras.com.br/48680954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</si>
</sst>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EA85F-220B-4172-94AA-58BE1BAD7CA1}" name="Table1" displayName="Table1" ref="A1:M104" totalsRowShown="0">
  <autoFilter ref="A1:M104" xr:uid="{C5EEA85F-220B-4172-94AA-58BE1BAD7CA1}"/>
  <tableColumns count="13">
    <tableColumn id="1" xr3:uid="{A79AEFE6-4817-4AFD-AF40-88D9ABEA49FD}" name="NOME"/>
    <tableColumn id="2" xr3:uid="{00167F09-A23F-4F12-9B31-FD224B979BC3}" name="MATRICULA"/>
    <tableColumn id="3" xr3:uid="{AC14F3DA-B39A-4E31-AD97-F85958C64A78}" name="CHAVE"/>
    <tableColumn id="4" xr3:uid="{C397DA00-C33B-4322-A181-6A0DC795B8A2}" name="DATA_INICIO" dataDxfId="2"/>
    <tableColumn id="5" xr3:uid="{78B6B90E-2804-4528-9556-9BBBC6DCED1F}" name="NOME_FUNCAO"/>
    <tableColumn id="6" xr3:uid="{0244FCA9-98B6-4CED-846E-FDB83B84ABEF}" name="SIGLA_LOTACAO"/>
    <tableColumn id="7" xr3:uid="{636AF140-F405-4FF1-851C-8D78C0D90AF0}" name="NOME_LOTACAO"/>
    <tableColumn id="8" xr3:uid="{2EEFA37D-19B1-4FAB-B8D4-FA0B06293A48}" name="NOME_CARGO"/>
    <tableColumn id="9" xr3:uid="{C77D6A91-A2BD-48BA-9A7A-975129EB6543}" name="NOME_ENFASE"/>
    <tableColumn id="10" xr3:uid="{8DD82760-4BE4-415E-B1C3-A628AFCB3293}" name="EMAIL"/>
    <tableColumn id="11" xr3:uid="{E68A4896-CC63-4CB3-B6E2-C121A9006B56}" name="DATA_ATUALIZACAO" dataDxfId="1"/>
    <tableColumn id="12" xr3:uid="{CD2A9671-3C5A-4A7B-A009-E57AA9EC8D26}" name="FOTO_LOCALIZADOR_PESSOA"/>
    <tableColumn id="13" xr3:uid="{7C3C7EE8-B80E-4B2C-8348-56BBD3220E79}" name="URL" dataDxfId="0">
      <calculatedColumnFormula>_xlfn.CONCAT(Table1[[#This Row],[FOTO_LOCALIZADOR_PESSOA]],".jpg")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3D73-EDE2-436E-A17A-C8A3939B7586}">
  <dimension ref="A1:M104"/>
  <sheetViews>
    <sheetView tabSelected="1" topLeftCell="A28" workbookViewId="0">
      <selection activeCell="F46" sqref="F46"/>
    </sheetView>
  </sheetViews>
  <sheetFormatPr defaultRowHeight="15" x14ac:dyDescent="0.25"/>
  <cols>
    <col min="1" max="1" width="39.140625" customWidth="1"/>
    <col min="2" max="2" width="13.5703125" customWidth="1"/>
    <col min="3" max="3" width="9.42578125" customWidth="1"/>
    <col min="4" max="4" width="22.28515625" customWidth="1"/>
    <col min="5" max="5" width="17.28515625" customWidth="1"/>
    <col min="6" max="6" width="17.85546875" customWidth="1"/>
    <col min="7" max="7" width="18.140625" customWidth="1"/>
    <col min="8" max="8" width="16.28515625" customWidth="1"/>
    <col min="9" max="9" width="16.5703125" customWidth="1"/>
    <col min="11" max="11" width="21" customWidth="1"/>
    <col min="12" max="12" width="50.28515625" customWidth="1"/>
    <col min="13" max="13" width="5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497</v>
      </c>
    </row>
    <row r="2" spans="1:13" x14ac:dyDescent="0.25">
      <c r="A2" t="s">
        <v>12</v>
      </c>
      <c r="B2">
        <v>4607160</v>
      </c>
      <c r="C2" t="s">
        <v>13</v>
      </c>
      <c r="D2" s="1">
        <v>45145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>
        <v>45444</v>
      </c>
      <c r="L2" t="s">
        <v>20</v>
      </c>
      <c r="M2" t="str">
        <f>_xlfn.CONCAT(Table1[[#This Row],[FOTO_LOCALIZADOR_PESSOA]],".jpg")</f>
        <v>https://rondafotosp.petrobras.com.br/04607160.jpg</v>
      </c>
    </row>
    <row r="3" spans="1:13" x14ac:dyDescent="0.25">
      <c r="A3" t="s">
        <v>21</v>
      </c>
      <c r="B3">
        <v>9732577</v>
      </c>
      <c r="C3" t="s">
        <v>22</v>
      </c>
      <c r="D3" s="1">
        <v>38915</v>
      </c>
      <c r="E3" t="s">
        <v>14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s="1">
        <v>46054</v>
      </c>
      <c r="L3" t="s">
        <v>27</v>
      </c>
      <c r="M3" t="str">
        <f>_xlfn.CONCAT(Table1[[#This Row],[FOTO_LOCALIZADOR_PESSOA]],".jpg")</f>
        <v>https://rondafotosp.petrobras.com.br/09732577.jpg</v>
      </c>
    </row>
    <row r="4" spans="1:13" x14ac:dyDescent="0.25">
      <c r="A4" t="s">
        <v>28</v>
      </c>
      <c r="B4">
        <v>9917547</v>
      </c>
      <c r="C4" t="s">
        <v>29</v>
      </c>
      <c r="D4" s="1">
        <v>40430</v>
      </c>
      <c r="E4" t="s">
        <v>14</v>
      </c>
      <c r="F4" t="s">
        <v>30</v>
      </c>
      <c r="G4" t="s">
        <v>31</v>
      </c>
      <c r="H4" t="s">
        <v>24</v>
      </c>
      <c r="I4" t="s">
        <v>25</v>
      </c>
      <c r="J4" t="s">
        <v>32</v>
      </c>
      <c r="K4" s="1">
        <v>45413</v>
      </c>
      <c r="L4" t="s">
        <v>33</v>
      </c>
      <c r="M4" t="str">
        <f>_xlfn.CONCAT(Table1[[#This Row],[FOTO_LOCALIZADOR_PESSOA]],".jpg")</f>
        <v>https://rondafotosp.petrobras.com.br/09917547.jpg</v>
      </c>
    </row>
    <row r="5" spans="1:13" x14ac:dyDescent="0.25">
      <c r="A5" t="s">
        <v>34</v>
      </c>
      <c r="B5">
        <v>9917283</v>
      </c>
      <c r="C5" t="s">
        <v>35</v>
      </c>
      <c r="D5" s="1">
        <v>40430</v>
      </c>
      <c r="E5" t="s">
        <v>14</v>
      </c>
      <c r="F5" t="s">
        <v>36</v>
      </c>
      <c r="G5" t="s">
        <v>16</v>
      </c>
      <c r="H5" t="s">
        <v>24</v>
      </c>
      <c r="I5" t="s">
        <v>25</v>
      </c>
      <c r="J5" t="s">
        <v>37</v>
      </c>
      <c r="K5" s="1">
        <v>45926.387766203705</v>
      </c>
      <c r="L5" t="s">
        <v>38</v>
      </c>
      <c r="M5" t="str">
        <f>_xlfn.CONCAT(Table1[[#This Row],[FOTO_LOCALIZADOR_PESSOA]],".jpg")</f>
        <v>https://rondafotosp.petrobras.com.br/09917283.jpg</v>
      </c>
    </row>
    <row r="6" spans="1:13" x14ac:dyDescent="0.25">
      <c r="A6" t="s">
        <v>39</v>
      </c>
      <c r="B6">
        <v>9903205</v>
      </c>
      <c r="C6" t="s">
        <v>40</v>
      </c>
      <c r="D6" s="1">
        <v>40367</v>
      </c>
      <c r="E6" t="s">
        <v>14</v>
      </c>
      <c r="F6" t="s">
        <v>15</v>
      </c>
      <c r="G6" t="s">
        <v>16</v>
      </c>
      <c r="H6" t="s">
        <v>24</v>
      </c>
      <c r="I6" t="s">
        <v>18</v>
      </c>
      <c r="J6" t="s">
        <v>41</v>
      </c>
      <c r="K6" s="1">
        <v>45627</v>
      </c>
      <c r="L6" t="s">
        <v>42</v>
      </c>
      <c r="M6" t="str">
        <f>_xlfn.CONCAT(Table1[[#This Row],[FOTO_LOCALIZADOR_PESSOA]],".jpg")</f>
        <v>https://rondafotosp.petrobras.com.br/09903205.jpg</v>
      </c>
    </row>
    <row r="7" spans="1:13" x14ac:dyDescent="0.25">
      <c r="A7" t="s">
        <v>43</v>
      </c>
      <c r="B7">
        <v>184527</v>
      </c>
      <c r="C7" t="s">
        <v>44</v>
      </c>
      <c r="D7" s="1">
        <v>33119</v>
      </c>
      <c r="E7" t="s">
        <v>45</v>
      </c>
      <c r="F7" t="s">
        <v>15</v>
      </c>
      <c r="G7" t="s">
        <v>16</v>
      </c>
      <c r="H7" t="s">
        <v>46</v>
      </c>
      <c r="I7" t="s">
        <v>18</v>
      </c>
      <c r="J7" t="s">
        <v>47</v>
      </c>
      <c r="K7" s="1">
        <v>45273.797152777777</v>
      </c>
      <c r="L7" t="s">
        <v>48</v>
      </c>
      <c r="M7" t="str">
        <f>_xlfn.CONCAT(Table1[[#This Row],[FOTO_LOCALIZADOR_PESSOA]],".jpg")</f>
        <v>https://rondafotosp.petrobras.com.br/00184527.jpg</v>
      </c>
    </row>
    <row r="8" spans="1:13" x14ac:dyDescent="0.25">
      <c r="A8" t="s">
        <v>49</v>
      </c>
      <c r="B8">
        <v>9914742</v>
      </c>
      <c r="C8" t="s">
        <v>50</v>
      </c>
      <c r="D8" s="1">
        <v>40422</v>
      </c>
      <c r="E8" t="s">
        <v>51</v>
      </c>
      <c r="F8" t="s">
        <v>23</v>
      </c>
      <c r="G8" t="s">
        <v>16</v>
      </c>
      <c r="H8" t="s">
        <v>24</v>
      </c>
      <c r="I8" t="s">
        <v>18</v>
      </c>
      <c r="J8" t="s">
        <v>52</v>
      </c>
      <c r="K8" s="1">
        <v>46054</v>
      </c>
      <c r="L8" t="s">
        <v>53</v>
      </c>
      <c r="M8" t="str">
        <f>_xlfn.CONCAT(Table1[[#This Row],[FOTO_LOCALIZADOR_PESSOA]],".jpg")</f>
        <v>https://rondafotosp.petrobras.com.br/09914742.jpg</v>
      </c>
    </row>
    <row r="9" spans="1:13" x14ac:dyDescent="0.25">
      <c r="A9" t="s">
        <v>54</v>
      </c>
      <c r="B9">
        <v>9733598</v>
      </c>
      <c r="C9" t="s">
        <v>55</v>
      </c>
      <c r="D9" s="1">
        <v>38915</v>
      </c>
      <c r="E9" t="s">
        <v>56</v>
      </c>
      <c r="F9" t="s">
        <v>57</v>
      </c>
      <c r="G9" t="s">
        <v>58</v>
      </c>
      <c r="H9" t="s">
        <v>46</v>
      </c>
      <c r="I9" t="s">
        <v>25</v>
      </c>
      <c r="J9" t="s">
        <v>59</v>
      </c>
      <c r="K9" s="1">
        <v>45627</v>
      </c>
      <c r="L9" t="s">
        <v>60</v>
      </c>
      <c r="M9" t="str">
        <f>_xlfn.CONCAT(Table1[[#This Row],[FOTO_LOCALIZADOR_PESSOA]],".jpg")</f>
        <v>https://rondafotosp.petrobras.com.br/09733598.jpg</v>
      </c>
    </row>
    <row r="10" spans="1:13" x14ac:dyDescent="0.25">
      <c r="A10" t="s">
        <v>61</v>
      </c>
      <c r="B10">
        <v>9872285</v>
      </c>
      <c r="C10" t="s">
        <v>62</v>
      </c>
      <c r="D10" s="1">
        <v>39762</v>
      </c>
      <c r="E10" t="s">
        <v>14</v>
      </c>
      <c r="F10" t="s">
        <v>63</v>
      </c>
      <c r="G10" t="s">
        <v>64</v>
      </c>
      <c r="H10" t="s">
        <v>24</v>
      </c>
      <c r="I10" t="s">
        <v>18</v>
      </c>
      <c r="J10" t="s">
        <v>65</v>
      </c>
      <c r="K10" s="1">
        <v>45274.231898148151</v>
      </c>
      <c r="L10" t="s">
        <v>66</v>
      </c>
      <c r="M10" t="str">
        <f>_xlfn.CONCAT(Table1[[#This Row],[FOTO_LOCALIZADOR_PESSOA]],".jpg")</f>
        <v>https://rondafotosp.petrobras.com.br/09872285.jpg</v>
      </c>
    </row>
    <row r="11" spans="1:13" x14ac:dyDescent="0.25">
      <c r="A11" t="s">
        <v>67</v>
      </c>
      <c r="B11">
        <v>9765836</v>
      </c>
      <c r="C11" t="s">
        <v>68</v>
      </c>
      <c r="D11" s="1">
        <v>39086</v>
      </c>
      <c r="E11" t="s">
        <v>14</v>
      </c>
      <c r="F11" t="s">
        <v>36</v>
      </c>
      <c r="G11" t="s">
        <v>16</v>
      </c>
      <c r="H11" t="s">
        <v>24</v>
      </c>
      <c r="I11" t="s">
        <v>18</v>
      </c>
      <c r="J11" t="s">
        <v>69</v>
      </c>
      <c r="K11" s="1">
        <v>45870</v>
      </c>
      <c r="L11" t="s">
        <v>70</v>
      </c>
      <c r="M11" t="str">
        <f>_xlfn.CONCAT(Table1[[#This Row],[FOTO_LOCALIZADOR_PESSOA]],".jpg")</f>
        <v>https://rondafotosp.petrobras.com.br/09765836.jpg</v>
      </c>
    </row>
    <row r="12" spans="1:13" x14ac:dyDescent="0.25">
      <c r="A12" t="s">
        <v>71</v>
      </c>
      <c r="B12">
        <v>9630991</v>
      </c>
      <c r="C12" t="s">
        <v>72</v>
      </c>
      <c r="D12" s="1">
        <v>38243</v>
      </c>
      <c r="E12" t="s">
        <v>45</v>
      </c>
      <c r="F12" t="s">
        <v>73</v>
      </c>
      <c r="G12" t="s">
        <v>74</v>
      </c>
      <c r="H12" t="s">
        <v>46</v>
      </c>
      <c r="I12" t="s">
        <v>25</v>
      </c>
      <c r="J12" t="s">
        <v>75</v>
      </c>
      <c r="K12" s="1">
        <v>45278.336898148147</v>
      </c>
      <c r="L12" t="s">
        <v>76</v>
      </c>
      <c r="M12" t="str">
        <f>_xlfn.CONCAT(Table1[[#This Row],[FOTO_LOCALIZADOR_PESSOA]],".jpg")</f>
        <v>https://rondafotosp.petrobras.com.br/09630991.jpg</v>
      </c>
    </row>
    <row r="13" spans="1:13" x14ac:dyDescent="0.25">
      <c r="A13" t="s">
        <v>77</v>
      </c>
      <c r="B13">
        <v>227292</v>
      </c>
      <c r="C13" t="s">
        <v>78</v>
      </c>
      <c r="D13" s="1">
        <v>37631</v>
      </c>
      <c r="E13" t="s">
        <v>14</v>
      </c>
      <c r="F13" t="s">
        <v>23</v>
      </c>
      <c r="G13" t="s">
        <v>16</v>
      </c>
      <c r="H13" t="s">
        <v>46</v>
      </c>
      <c r="I13" t="s">
        <v>25</v>
      </c>
      <c r="J13" t="s">
        <v>79</v>
      </c>
      <c r="K13" s="1">
        <v>46054</v>
      </c>
      <c r="L13" t="s">
        <v>80</v>
      </c>
      <c r="M13" t="str">
        <f>_xlfn.CONCAT(Table1[[#This Row],[FOTO_LOCALIZADOR_PESSOA]],".jpg")</f>
        <v>https://rondafotosp.petrobras.com.br/00227292.jpg</v>
      </c>
    </row>
    <row r="14" spans="1:13" x14ac:dyDescent="0.25">
      <c r="A14" t="s">
        <v>81</v>
      </c>
      <c r="B14">
        <v>227311</v>
      </c>
      <c r="C14" t="s">
        <v>82</v>
      </c>
      <c r="D14" s="1">
        <v>37631</v>
      </c>
      <c r="E14" t="s">
        <v>14</v>
      </c>
      <c r="F14" t="s">
        <v>36</v>
      </c>
      <c r="G14" t="s">
        <v>16</v>
      </c>
      <c r="H14" t="s">
        <v>46</v>
      </c>
      <c r="I14" t="s">
        <v>18</v>
      </c>
      <c r="J14" t="s">
        <v>83</v>
      </c>
      <c r="K14" s="1">
        <v>45870</v>
      </c>
      <c r="L14" t="s">
        <v>84</v>
      </c>
      <c r="M14" t="str">
        <f>_xlfn.CONCAT(Table1[[#This Row],[FOTO_LOCALIZADOR_PESSOA]],".jpg")</f>
        <v>https://rondafotosp.petrobras.com.br/00227311.jpg</v>
      </c>
    </row>
    <row r="15" spans="1:13" x14ac:dyDescent="0.25">
      <c r="A15" t="s">
        <v>85</v>
      </c>
      <c r="B15">
        <v>9912275</v>
      </c>
      <c r="C15" t="s">
        <v>86</v>
      </c>
      <c r="D15" s="1">
        <v>40423</v>
      </c>
      <c r="E15" t="s">
        <v>14</v>
      </c>
      <c r="F15" t="s">
        <v>73</v>
      </c>
      <c r="G15" t="s">
        <v>74</v>
      </c>
      <c r="H15" t="s">
        <v>24</v>
      </c>
      <c r="I15" t="s">
        <v>87</v>
      </c>
      <c r="J15" t="s">
        <v>88</v>
      </c>
      <c r="K15" s="1">
        <v>45274.573587962965</v>
      </c>
      <c r="L15" t="s">
        <v>89</v>
      </c>
      <c r="M15" t="str">
        <f>_xlfn.CONCAT(Table1[[#This Row],[FOTO_LOCALIZADOR_PESSOA]],".jpg")</f>
        <v>https://rondafotosp.petrobras.com.br/09912275.jpg</v>
      </c>
    </row>
    <row r="16" spans="1:13" x14ac:dyDescent="0.25">
      <c r="A16" t="s">
        <v>90</v>
      </c>
      <c r="B16">
        <v>2450670</v>
      </c>
      <c r="C16" t="s">
        <v>91</v>
      </c>
      <c r="D16" s="1">
        <v>40969</v>
      </c>
      <c r="E16" t="s">
        <v>14</v>
      </c>
      <c r="F16" t="s">
        <v>36</v>
      </c>
      <c r="G16" t="s">
        <v>16</v>
      </c>
      <c r="H16" t="s">
        <v>24</v>
      </c>
      <c r="I16" t="s">
        <v>25</v>
      </c>
      <c r="J16" t="s">
        <v>92</v>
      </c>
      <c r="K16" s="1">
        <v>45870</v>
      </c>
      <c r="L16" t="s">
        <v>93</v>
      </c>
      <c r="M16" t="str">
        <f>_xlfn.CONCAT(Table1[[#This Row],[FOTO_LOCALIZADOR_PESSOA]],".jpg")</f>
        <v>https://rondafotosp.petrobras.com.br/02450670.jpg</v>
      </c>
    </row>
    <row r="17" spans="1:13" x14ac:dyDescent="0.25">
      <c r="A17" t="s">
        <v>94</v>
      </c>
      <c r="B17">
        <v>1390566</v>
      </c>
      <c r="C17" t="s">
        <v>95</v>
      </c>
      <c r="D17" s="1">
        <v>37848</v>
      </c>
      <c r="E17" t="s">
        <v>45</v>
      </c>
      <c r="F17" t="s">
        <v>96</v>
      </c>
      <c r="G17" t="s">
        <v>97</v>
      </c>
      <c r="H17" t="s">
        <v>46</v>
      </c>
      <c r="I17" t="s">
        <v>18</v>
      </c>
      <c r="J17" t="s">
        <v>98</v>
      </c>
      <c r="K17" s="1">
        <v>45905.745312500003</v>
      </c>
      <c r="L17" t="s">
        <v>99</v>
      </c>
      <c r="M17" t="str">
        <f>_xlfn.CONCAT(Table1[[#This Row],[FOTO_LOCALIZADOR_PESSOA]],".jpg")</f>
        <v>https://rondafotosp.petrobras.com.br/01390566.jpg</v>
      </c>
    </row>
    <row r="18" spans="1:13" x14ac:dyDescent="0.25">
      <c r="A18" t="s">
        <v>100</v>
      </c>
      <c r="B18">
        <v>9732995</v>
      </c>
      <c r="C18" t="s">
        <v>101</v>
      </c>
      <c r="D18" s="1">
        <v>38915</v>
      </c>
      <c r="E18" t="s">
        <v>45</v>
      </c>
      <c r="F18" t="s">
        <v>102</v>
      </c>
      <c r="G18" t="s">
        <v>103</v>
      </c>
      <c r="H18" t="s">
        <v>46</v>
      </c>
      <c r="I18" t="s">
        <v>25</v>
      </c>
      <c r="J18" t="s">
        <v>104</v>
      </c>
      <c r="K18" s="1">
        <v>45292.120682870373</v>
      </c>
      <c r="L18" t="s">
        <v>105</v>
      </c>
      <c r="M18" t="str">
        <f>_xlfn.CONCAT(Table1[[#This Row],[FOTO_LOCALIZADOR_PESSOA]],".jpg")</f>
        <v>https://rondafotosp.petrobras.com.br/09732995.jpg</v>
      </c>
    </row>
    <row r="19" spans="1:13" x14ac:dyDescent="0.25">
      <c r="A19" t="s">
        <v>106</v>
      </c>
      <c r="B19">
        <v>211522</v>
      </c>
      <c r="C19" t="s">
        <v>107</v>
      </c>
      <c r="D19" s="1">
        <v>37519</v>
      </c>
      <c r="E19" t="s">
        <v>108</v>
      </c>
      <c r="F19" t="s">
        <v>109</v>
      </c>
      <c r="G19" t="s">
        <v>110</v>
      </c>
      <c r="H19" t="s">
        <v>46</v>
      </c>
      <c r="I19" t="s">
        <v>25</v>
      </c>
      <c r="J19" t="s">
        <v>111</v>
      </c>
      <c r="K19" s="1">
        <v>45870</v>
      </c>
      <c r="L19" t="s">
        <v>112</v>
      </c>
      <c r="M19" t="str">
        <f>_xlfn.CONCAT(Table1[[#This Row],[FOTO_LOCALIZADOR_PESSOA]],".jpg")</f>
        <v>https://rondafotosp.petrobras.com.br/00211522.jpg</v>
      </c>
    </row>
    <row r="20" spans="1:13" x14ac:dyDescent="0.25">
      <c r="A20" t="s">
        <v>113</v>
      </c>
      <c r="B20">
        <v>211699</v>
      </c>
      <c r="C20" t="s">
        <v>114</v>
      </c>
      <c r="D20" s="1">
        <v>37519</v>
      </c>
      <c r="E20" t="s">
        <v>115</v>
      </c>
      <c r="F20" t="s">
        <v>15</v>
      </c>
      <c r="G20" t="s">
        <v>16</v>
      </c>
      <c r="H20" t="s">
        <v>46</v>
      </c>
      <c r="I20" t="s">
        <v>25</v>
      </c>
      <c r="J20" t="s">
        <v>116</v>
      </c>
      <c r="K20" s="1">
        <v>45273.697824074072</v>
      </c>
      <c r="L20" t="s">
        <v>117</v>
      </c>
      <c r="M20" t="str">
        <f>_xlfn.CONCAT(Table1[[#This Row],[FOTO_LOCALIZADOR_PESSOA]],".jpg")</f>
        <v>https://rondafotosp.petrobras.com.br/00211699.jpg</v>
      </c>
    </row>
    <row r="21" spans="1:13" x14ac:dyDescent="0.25">
      <c r="A21" t="s">
        <v>118</v>
      </c>
      <c r="B21">
        <v>2451304</v>
      </c>
      <c r="C21" t="s">
        <v>119</v>
      </c>
      <c r="D21" s="1">
        <v>40969</v>
      </c>
      <c r="E21" t="s">
        <v>14</v>
      </c>
      <c r="F21" t="s">
        <v>23</v>
      </c>
      <c r="G21" t="s">
        <v>16</v>
      </c>
      <c r="H21" t="s">
        <v>24</v>
      </c>
      <c r="I21" t="s">
        <v>25</v>
      </c>
      <c r="J21" t="s">
        <v>120</v>
      </c>
      <c r="K21" s="1">
        <v>46054</v>
      </c>
      <c r="L21" t="s">
        <v>121</v>
      </c>
      <c r="M21" t="str">
        <f>_xlfn.CONCAT(Table1[[#This Row],[FOTO_LOCALIZADOR_PESSOA]],".jpg")</f>
        <v>https://rondafotosp.petrobras.com.br/02451304.jpg</v>
      </c>
    </row>
    <row r="22" spans="1:13" x14ac:dyDescent="0.25">
      <c r="A22" t="s">
        <v>122</v>
      </c>
      <c r="B22">
        <v>9628983</v>
      </c>
      <c r="C22" t="s">
        <v>123</v>
      </c>
      <c r="D22" s="1">
        <v>38231</v>
      </c>
      <c r="E22" t="s">
        <v>56</v>
      </c>
      <c r="F22" t="s">
        <v>124</v>
      </c>
      <c r="G22" t="s">
        <v>125</v>
      </c>
      <c r="H22" t="s">
        <v>46</v>
      </c>
      <c r="I22" t="s">
        <v>25</v>
      </c>
      <c r="J22" t="s">
        <v>126</v>
      </c>
      <c r="K22" s="1">
        <v>45292.108055555553</v>
      </c>
      <c r="L22" t="s">
        <v>127</v>
      </c>
      <c r="M22" t="str">
        <f>_xlfn.CONCAT(Table1[[#This Row],[FOTO_LOCALIZADOR_PESSOA]],".jpg")</f>
        <v>https://rondafotosp.petrobras.com.br/09628983.jpg</v>
      </c>
    </row>
    <row r="23" spans="1:13" x14ac:dyDescent="0.25">
      <c r="A23" t="s">
        <v>128</v>
      </c>
      <c r="B23">
        <v>2450880</v>
      </c>
      <c r="C23" t="s">
        <v>129</v>
      </c>
      <c r="D23" s="1">
        <v>40969</v>
      </c>
      <c r="E23" t="s">
        <v>14</v>
      </c>
      <c r="F23" t="s">
        <v>23</v>
      </c>
      <c r="G23" t="s">
        <v>16</v>
      </c>
      <c r="H23" t="s">
        <v>24</v>
      </c>
      <c r="I23" t="s">
        <v>25</v>
      </c>
      <c r="J23" t="s">
        <v>130</v>
      </c>
      <c r="K23" s="1">
        <v>46054</v>
      </c>
      <c r="L23" t="s">
        <v>131</v>
      </c>
      <c r="M23" t="str">
        <f>_xlfn.CONCAT(Table1[[#This Row],[FOTO_LOCALIZADOR_PESSOA]],".jpg")</f>
        <v>https://rondafotosp.petrobras.com.br/02450880.jpg</v>
      </c>
    </row>
    <row r="24" spans="1:13" x14ac:dyDescent="0.25">
      <c r="A24" t="s">
        <v>132</v>
      </c>
      <c r="B24">
        <v>9916606</v>
      </c>
      <c r="C24" t="s">
        <v>133</v>
      </c>
      <c r="D24" s="1">
        <v>40430</v>
      </c>
      <c r="E24" t="s">
        <v>14</v>
      </c>
      <c r="F24" t="s">
        <v>134</v>
      </c>
      <c r="G24" t="s">
        <v>135</v>
      </c>
      <c r="H24" t="s">
        <v>24</v>
      </c>
      <c r="I24" t="s">
        <v>25</v>
      </c>
      <c r="J24" t="s">
        <v>136</v>
      </c>
      <c r="K24" s="1">
        <v>46054</v>
      </c>
      <c r="L24" t="s">
        <v>137</v>
      </c>
      <c r="M24" t="str">
        <f>_xlfn.CONCAT(Table1[[#This Row],[FOTO_LOCALIZADOR_PESSOA]],".jpg")</f>
        <v>https://rondafotosp.petrobras.com.br/09916606.jpg</v>
      </c>
    </row>
    <row r="25" spans="1:13" x14ac:dyDescent="0.25">
      <c r="A25" t="s">
        <v>138</v>
      </c>
      <c r="B25">
        <v>9733304</v>
      </c>
      <c r="C25" t="s">
        <v>139</v>
      </c>
      <c r="D25" s="1">
        <v>38915</v>
      </c>
      <c r="E25" t="s">
        <v>14</v>
      </c>
      <c r="F25" t="s">
        <v>140</v>
      </c>
      <c r="G25" t="s">
        <v>141</v>
      </c>
      <c r="H25" t="s">
        <v>24</v>
      </c>
      <c r="I25" t="s">
        <v>25</v>
      </c>
      <c r="J25" t="s">
        <v>142</v>
      </c>
      <c r="K25" s="1">
        <v>45992.145289351851</v>
      </c>
      <c r="L25" t="s">
        <v>143</v>
      </c>
      <c r="M25" t="str">
        <f>_xlfn.CONCAT(Table1[[#This Row],[FOTO_LOCALIZADOR_PESSOA]],".jpg")</f>
        <v>https://rondafotosp.petrobras.com.br/09733304.jpg</v>
      </c>
    </row>
    <row r="26" spans="1:13" x14ac:dyDescent="0.25">
      <c r="A26" t="s">
        <v>144</v>
      </c>
      <c r="B26">
        <v>2413281</v>
      </c>
      <c r="C26" t="s">
        <v>145</v>
      </c>
      <c r="D26" s="1">
        <v>40756</v>
      </c>
      <c r="E26" t="s">
        <v>14</v>
      </c>
      <c r="F26" t="s">
        <v>146</v>
      </c>
      <c r="G26" t="s">
        <v>147</v>
      </c>
      <c r="H26" t="s">
        <v>24</v>
      </c>
      <c r="I26" t="s">
        <v>18</v>
      </c>
      <c r="J26" t="s">
        <v>148</v>
      </c>
      <c r="K26" s="1">
        <v>46082</v>
      </c>
      <c r="L26" t="s">
        <v>149</v>
      </c>
      <c r="M26" t="str">
        <f>_xlfn.CONCAT(Table1[[#This Row],[FOTO_LOCALIZADOR_PESSOA]],".jpg")</f>
        <v>https://rondafotosp.petrobras.com.br/02413281.jpg</v>
      </c>
    </row>
    <row r="27" spans="1:13" x14ac:dyDescent="0.25">
      <c r="A27" t="s">
        <v>150</v>
      </c>
      <c r="B27">
        <v>9757930</v>
      </c>
      <c r="C27" t="s">
        <v>151</v>
      </c>
      <c r="D27" s="1">
        <v>39027</v>
      </c>
      <c r="E27" t="s">
        <v>108</v>
      </c>
      <c r="F27" t="s">
        <v>134</v>
      </c>
      <c r="G27" t="s">
        <v>135</v>
      </c>
      <c r="H27" t="s">
        <v>46</v>
      </c>
      <c r="I27" t="s">
        <v>87</v>
      </c>
      <c r="J27" t="s">
        <v>152</v>
      </c>
      <c r="K27" s="1">
        <v>46054</v>
      </c>
      <c r="L27" t="s">
        <v>153</v>
      </c>
      <c r="M27" t="str">
        <f>_xlfn.CONCAT(Table1[[#This Row],[FOTO_LOCALIZADOR_PESSOA]],".jpg")</f>
        <v>https://rondafotosp.petrobras.com.br/09757930.jpg</v>
      </c>
    </row>
    <row r="28" spans="1:13" x14ac:dyDescent="0.25">
      <c r="A28" t="s">
        <v>154</v>
      </c>
      <c r="B28">
        <v>2414554</v>
      </c>
      <c r="C28" t="s">
        <v>155</v>
      </c>
      <c r="D28" s="1">
        <v>40756</v>
      </c>
      <c r="E28" t="s">
        <v>14</v>
      </c>
      <c r="F28" t="s">
        <v>156</v>
      </c>
      <c r="G28" t="s">
        <v>157</v>
      </c>
      <c r="H28" t="s">
        <v>24</v>
      </c>
      <c r="I28" t="s">
        <v>87</v>
      </c>
      <c r="J28" t="s">
        <v>158</v>
      </c>
      <c r="K28" s="1">
        <v>45474</v>
      </c>
      <c r="L28" t="s">
        <v>159</v>
      </c>
      <c r="M28" t="str">
        <f>_xlfn.CONCAT(Table1[[#This Row],[FOTO_LOCALIZADOR_PESSOA]],".jpg")</f>
        <v>https://rondafotosp.petrobras.com.br/02414554.jpg</v>
      </c>
    </row>
    <row r="29" spans="1:13" x14ac:dyDescent="0.25">
      <c r="A29" t="s">
        <v>160</v>
      </c>
      <c r="B29">
        <v>9728830</v>
      </c>
      <c r="C29" t="s">
        <v>161</v>
      </c>
      <c r="D29" s="1">
        <v>38901</v>
      </c>
      <c r="E29" t="s">
        <v>108</v>
      </c>
      <c r="F29" t="s">
        <v>63</v>
      </c>
      <c r="G29" t="s">
        <v>64</v>
      </c>
      <c r="H29" t="s">
        <v>46</v>
      </c>
      <c r="I29" t="s">
        <v>25</v>
      </c>
      <c r="J29" t="s">
        <v>162</v>
      </c>
      <c r="K29" s="1">
        <v>45627</v>
      </c>
      <c r="L29" t="s">
        <v>163</v>
      </c>
      <c r="M29" t="str">
        <f>_xlfn.CONCAT(Table1[[#This Row],[FOTO_LOCALIZADOR_PESSOA]],".jpg")</f>
        <v>https://rondafotosp.petrobras.com.br/09728830.jpg</v>
      </c>
    </row>
    <row r="30" spans="1:13" x14ac:dyDescent="0.25">
      <c r="A30" t="s">
        <v>164</v>
      </c>
      <c r="B30">
        <v>322387</v>
      </c>
      <c r="C30" t="s">
        <v>165</v>
      </c>
      <c r="D30" s="1">
        <v>30348</v>
      </c>
      <c r="E30" t="s">
        <v>115</v>
      </c>
      <c r="F30" t="s">
        <v>36</v>
      </c>
      <c r="G30" t="s">
        <v>16</v>
      </c>
      <c r="H30" t="s">
        <v>46</v>
      </c>
      <c r="I30" t="s">
        <v>25</v>
      </c>
      <c r="J30" t="s">
        <v>166</v>
      </c>
      <c r="K30" s="1">
        <v>45870</v>
      </c>
      <c r="L30" t="s">
        <v>167</v>
      </c>
      <c r="M30" t="str">
        <f>_xlfn.CONCAT(Table1[[#This Row],[FOTO_LOCALIZADOR_PESSOA]],".jpg")</f>
        <v>https://rondafotosp.petrobras.com.br/00322387.jpg</v>
      </c>
    </row>
    <row r="31" spans="1:13" x14ac:dyDescent="0.25">
      <c r="A31" t="s">
        <v>168</v>
      </c>
      <c r="B31">
        <v>9860540</v>
      </c>
      <c r="C31" t="s">
        <v>169</v>
      </c>
      <c r="D31" s="1">
        <v>39706</v>
      </c>
      <c r="E31" t="s">
        <v>45</v>
      </c>
      <c r="F31" t="s">
        <v>23</v>
      </c>
      <c r="G31" t="s">
        <v>16</v>
      </c>
      <c r="H31" t="s">
        <v>24</v>
      </c>
      <c r="I31" t="s">
        <v>18</v>
      </c>
      <c r="J31" t="s">
        <v>170</v>
      </c>
      <c r="K31" s="1">
        <v>46054</v>
      </c>
      <c r="L31" t="s">
        <v>171</v>
      </c>
      <c r="M31" t="str">
        <f>_xlfn.CONCAT(Table1[[#This Row],[FOTO_LOCALIZADOR_PESSOA]],".jpg")</f>
        <v>https://rondafotosp.petrobras.com.br/09860540.jpg</v>
      </c>
    </row>
    <row r="32" spans="1:13" x14ac:dyDescent="0.25">
      <c r="A32" t="s">
        <v>172</v>
      </c>
      <c r="B32">
        <v>9768132</v>
      </c>
      <c r="C32" t="s">
        <v>173</v>
      </c>
      <c r="D32" s="1">
        <v>39086</v>
      </c>
      <c r="E32" t="s">
        <v>108</v>
      </c>
      <c r="F32" t="s">
        <v>96</v>
      </c>
      <c r="G32" t="s">
        <v>97</v>
      </c>
      <c r="H32" t="s">
        <v>46</v>
      </c>
      <c r="I32" t="s">
        <v>18</v>
      </c>
      <c r="J32" t="s">
        <v>174</v>
      </c>
      <c r="K32" s="1">
        <v>45689</v>
      </c>
      <c r="L32" t="s">
        <v>175</v>
      </c>
      <c r="M32" t="str">
        <f>_xlfn.CONCAT(Table1[[#This Row],[FOTO_LOCALIZADOR_PESSOA]],".jpg")</f>
        <v>https://rondafotosp.petrobras.com.br/09768132.jpg</v>
      </c>
    </row>
    <row r="33" spans="1:13" x14ac:dyDescent="0.25">
      <c r="A33" t="s">
        <v>176</v>
      </c>
      <c r="B33">
        <v>9655451</v>
      </c>
      <c r="C33" t="s">
        <v>177</v>
      </c>
      <c r="D33" s="1">
        <v>38565</v>
      </c>
      <c r="E33" t="s">
        <v>14</v>
      </c>
      <c r="F33" t="s">
        <v>178</v>
      </c>
      <c r="G33" t="s">
        <v>179</v>
      </c>
      <c r="H33" t="s">
        <v>24</v>
      </c>
      <c r="I33" t="s">
        <v>25</v>
      </c>
      <c r="J33" t="s">
        <v>180</v>
      </c>
      <c r="K33" s="1">
        <v>45839</v>
      </c>
      <c r="L33" t="s">
        <v>181</v>
      </c>
      <c r="M33" t="str">
        <f>_xlfn.CONCAT(Table1[[#This Row],[FOTO_LOCALIZADOR_PESSOA]],".jpg")</f>
        <v>https://rondafotosp.petrobras.com.br/09655451.jpg</v>
      </c>
    </row>
    <row r="34" spans="1:13" x14ac:dyDescent="0.25">
      <c r="A34" t="s">
        <v>182</v>
      </c>
      <c r="B34">
        <v>9654208</v>
      </c>
      <c r="C34" t="s">
        <v>183</v>
      </c>
      <c r="D34" s="1">
        <v>38565</v>
      </c>
      <c r="E34" t="s">
        <v>45</v>
      </c>
      <c r="F34" t="s">
        <v>184</v>
      </c>
      <c r="G34" t="s">
        <v>185</v>
      </c>
      <c r="H34" t="s">
        <v>46</v>
      </c>
      <c r="I34" t="s">
        <v>25</v>
      </c>
      <c r="J34" t="s">
        <v>186</v>
      </c>
      <c r="K34" s="1">
        <v>45931</v>
      </c>
      <c r="L34" t="s">
        <v>187</v>
      </c>
      <c r="M34" t="str">
        <f>_xlfn.CONCAT(Table1[[#This Row],[FOTO_LOCALIZADOR_PESSOA]],".jpg")</f>
        <v>https://rondafotosp.petrobras.com.br/09654208.jpg</v>
      </c>
    </row>
    <row r="35" spans="1:13" x14ac:dyDescent="0.25">
      <c r="A35" t="s">
        <v>188</v>
      </c>
      <c r="B35">
        <v>4606756</v>
      </c>
      <c r="C35" t="s">
        <v>189</v>
      </c>
      <c r="D35" s="1">
        <v>45089</v>
      </c>
      <c r="E35" t="s">
        <v>14</v>
      </c>
      <c r="F35" t="s">
        <v>190</v>
      </c>
      <c r="G35" t="s">
        <v>191</v>
      </c>
      <c r="H35" t="s">
        <v>17</v>
      </c>
      <c r="I35" t="s">
        <v>192</v>
      </c>
      <c r="J35" t="s">
        <v>193</v>
      </c>
      <c r="K35" s="1">
        <v>45323</v>
      </c>
      <c r="L35" t="s">
        <v>194</v>
      </c>
      <c r="M35" t="str">
        <f>_xlfn.CONCAT(Table1[[#This Row],[FOTO_LOCALIZADOR_PESSOA]],".jpg")</f>
        <v>https://rondafotosp.petrobras.com.br/04606756.jpg</v>
      </c>
    </row>
    <row r="36" spans="1:13" x14ac:dyDescent="0.25">
      <c r="A36" t="s">
        <v>195</v>
      </c>
      <c r="B36">
        <v>228319</v>
      </c>
      <c r="C36" t="s">
        <v>196</v>
      </c>
      <c r="D36" s="1">
        <v>37631</v>
      </c>
      <c r="E36" t="s">
        <v>14</v>
      </c>
      <c r="F36" t="s">
        <v>36</v>
      </c>
      <c r="G36" t="s">
        <v>16</v>
      </c>
      <c r="H36" t="s">
        <v>197</v>
      </c>
      <c r="I36" t="s">
        <v>198</v>
      </c>
      <c r="J36" t="s">
        <v>199</v>
      </c>
      <c r="K36" s="1">
        <v>46023</v>
      </c>
      <c r="L36" t="s">
        <v>200</v>
      </c>
      <c r="M36" t="str">
        <f>_xlfn.CONCAT(Table1[[#This Row],[FOTO_LOCALIZADOR_PESSOA]],".jpg")</f>
        <v>https://rondafotosp.petrobras.com.br/00228319.jpg</v>
      </c>
    </row>
    <row r="37" spans="1:13" x14ac:dyDescent="0.25">
      <c r="A37" t="s">
        <v>201</v>
      </c>
      <c r="B37">
        <v>2449148</v>
      </c>
      <c r="C37" t="s">
        <v>202</v>
      </c>
      <c r="D37" s="1">
        <v>40969</v>
      </c>
      <c r="E37" t="s">
        <v>14</v>
      </c>
      <c r="F37" t="s">
        <v>203</v>
      </c>
      <c r="G37" t="s">
        <v>204</v>
      </c>
      <c r="H37" t="s">
        <v>24</v>
      </c>
      <c r="I37" t="s">
        <v>18</v>
      </c>
      <c r="J37" t="s">
        <v>205</v>
      </c>
      <c r="K37" s="1">
        <v>46082</v>
      </c>
      <c r="L37" t="s">
        <v>206</v>
      </c>
      <c r="M37" t="str">
        <f>_xlfn.CONCAT(Table1[[#This Row],[FOTO_LOCALIZADOR_PESSOA]],".jpg")</f>
        <v>https://rondafotosp.petrobras.com.br/02449148.jpg</v>
      </c>
    </row>
    <row r="38" spans="1:13" x14ac:dyDescent="0.25">
      <c r="A38" t="s">
        <v>207</v>
      </c>
      <c r="B38">
        <v>9654859</v>
      </c>
      <c r="C38" t="s">
        <v>208</v>
      </c>
      <c r="D38" s="1">
        <v>38565</v>
      </c>
      <c r="E38" t="s">
        <v>45</v>
      </c>
      <c r="F38" t="s">
        <v>23</v>
      </c>
      <c r="G38" t="s">
        <v>16</v>
      </c>
      <c r="H38" t="s">
        <v>46</v>
      </c>
      <c r="I38" t="s">
        <v>25</v>
      </c>
      <c r="J38" t="s">
        <v>209</v>
      </c>
      <c r="K38" s="1">
        <v>46054</v>
      </c>
      <c r="L38" t="s">
        <v>210</v>
      </c>
      <c r="M38" t="str">
        <f>_xlfn.CONCAT(Table1[[#This Row],[FOTO_LOCALIZADOR_PESSOA]],".jpg")</f>
        <v>https://rondafotosp.petrobras.com.br/09654859.jpg</v>
      </c>
    </row>
    <row r="39" spans="1:13" x14ac:dyDescent="0.25">
      <c r="A39" t="s">
        <v>211</v>
      </c>
      <c r="B39">
        <v>9766704</v>
      </c>
      <c r="C39" t="s">
        <v>212</v>
      </c>
      <c r="D39" s="1">
        <v>39086</v>
      </c>
      <c r="E39" t="s">
        <v>51</v>
      </c>
      <c r="F39" t="s">
        <v>73</v>
      </c>
      <c r="G39" t="s">
        <v>74</v>
      </c>
      <c r="H39" t="s">
        <v>46</v>
      </c>
      <c r="I39" t="s">
        <v>18</v>
      </c>
      <c r="J39" t="s">
        <v>213</v>
      </c>
      <c r="K39" s="1">
        <v>45839</v>
      </c>
      <c r="L39" t="s">
        <v>214</v>
      </c>
      <c r="M39" t="str">
        <f>_xlfn.CONCAT(Table1[[#This Row],[FOTO_LOCALIZADOR_PESSOA]],".jpg")</f>
        <v>https://rondafotosp.petrobras.com.br/09766704.jpg</v>
      </c>
    </row>
    <row r="40" spans="1:13" x14ac:dyDescent="0.25">
      <c r="A40" t="s">
        <v>215</v>
      </c>
      <c r="B40">
        <v>2495626</v>
      </c>
      <c r="C40" t="s">
        <v>216</v>
      </c>
      <c r="D40" s="1">
        <v>41397</v>
      </c>
      <c r="E40" t="s">
        <v>14</v>
      </c>
      <c r="F40" t="s">
        <v>63</v>
      </c>
      <c r="G40" t="s">
        <v>64</v>
      </c>
      <c r="H40" t="s">
        <v>24</v>
      </c>
      <c r="I40" t="s">
        <v>25</v>
      </c>
      <c r="J40" t="s">
        <v>217</v>
      </c>
      <c r="K40" s="1">
        <v>45292.097916666666</v>
      </c>
      <c r="L40" t="s">
        <v>218</v>
      </c>
      <c r="M40" t="str">
        <f>_xlfn.CONCAT(Table1[[#This Row],[FOTO_LOCALIZADOR_PESSOA]],".jpg")</f>
        <v>https://rondafotosp.petrobras.com.br/02495626.jpg</v>
      </c>
    </row>
    <row r="41" spans="1:13" x14ac:dyDescent="0.25">
      <c r="A41" t="s">
        <v>219</v>
      </c>
      <c r="B41">
        <v>2564280</v>
      </c>
      <c r="C41" t="s">
        <v>220</v>
      </c>
      <c r="D41" s="1">
        <v>43480</v>
      </c>
      <c r="E41" t="s">
        <v>14</v>
      </c>
      <c r="F41" t="s">
        <v>156</v>
      </c>
      <c r="G41" t="s">
        <v>157</v>
      </c>
      <c r="H41" t="s">
        <v>221</v>
      </c>
      <c r="I41" t="s">
        <v>18</v>
      </c>
      <c r="J41" t="s">
        <v>222</v>
      </c>
      <c r="K41" s="1">
        <v>45839</v>
      </c>
      <c r="L41" t="s">
        <v>223</v>
      </c>
      <c r="M41" t="str">
        <f>_xlfn.CONCAT(Table1[[#This Row],[FOTO_LOCALIZADOR_PESSOA]],".jpg")</f>
        <v>https://rondafotosp.petrobras.com.br/02564280.jpg</v>
      </c>
    </row>
    <row r="42" spans="1:13" x14ac:dyDescent="0.25">
      <c r="A42" t="s">
        <v>224</v>
      </c>
      <c r="B42">
        <v>9786463</v>
      </c>
      <c r="C42" t="s">
        <v>225</v>
      </c>
      <c r="D42" s="1">
        <v>39142</v>
      </c>
      <c r="E42" t="s">
        <v>14</v>
      </c>
      <c r="F42" t="s">
        <v>73</v>
      </c>
      <c r="G42" t="s">
        <v>74</v>
      </c>
      <c r="H42" t="s">
        <v>24</v>
      </c>
      <c r="I42" t="s">
        <v>226</v>
      </c>
      <c r="J42" t="s">
        <v>227</v>
      </c>
      <c r="K42" s="1">
        <v>45998.446967592594</v>
      </c>
      <c r="L42" t="s">
        <v>228</v>
      </c>
      <c r="M42" t="str">
        <f>_xlfn.CONCAT(Table1[[#This Row],[FOTO_LOCALIZADOR_PESSOA]],".jpg")</f>
        <v>https://rondafotosp.petrobras.com.br/09786463.jpg</v>
      </c>
    </row>
    <row r="43" spans="1:13" x14ac:dyDescent="0.25">
      <c r="A43" t="s">
        <v>229</v>
      </c>
      <c r="B43">
        <v>4606960</v>
      </c>
      <c r="C43" t="s">
        <v>230</v>
      </c>
      <c r="D43" s="1">
        <v>45145</v>
      </c>
      <c r="E43" t="s">
        <v>14</v>
      </c>
      <c r="F43" t="s">
        <v>36</v>
      </c>
      <c r="G43" t="s">
        <v>16</v>
      </c>
      <c r="H43" t="s">
        <v>17</v>
      </c>
      <c r="I43" t="s">
        <v>25</v>
      </c>
      <c r="J43" t="s">
        <v>231</v>
      </c>
      <c r="K43" s="1">
        <v>45870</v>
      </c>
      <c r="L43" t="s">
        <v>232</v>
      </c>
      <c r="M43" t="str">
        <f>_xlfn.CONCAT(Table1[[#This Row],[FOTO_LOCALIZADOR_PESSOA]],".jpg")</f>
        <v>https://rondafotosp.petrobras.com.br/04606960.jpg</v>
      </c>
    </row>
    <row r="44" spans="1:13" x14ac:dyDescent="0.25">
      <c r="A44" t="s">
        <v>498</v>
      </c>
      <c r="B44">
        <v>48680954</v>
      </c>
      <c r="C44" t="s">
        <v>499</v>
      </c>
      <c r="D44" s="1">
        <v>45002</v>
      </c>
      <c r="E44" t="s">
        <v>14</v>
      </c>
      <c r="F44" t="s">
        <v>15</v>
      </c>
      <c r="G44" t="s">
        <v>16</v>
      </c>
      <c r="H44" t="s">
        <v>14</v>
      </c>
      <c r="I44" t="s">
        <v>14</v>
      </c>
      <c r="J44" t="s">
        <v>500</v>
      </c>
      <c r="K44" s="1">
        <v>46031.382881944446</v>
      </c>
      <c r="L44" t="s">
        <v>501</v>
      </c>
      <c r="M44" s="2" t="str">
        <f>_xlfn.CONCAT(Table1[[#This Row],[FOTO_LOCALIZADOR_PESSOA]],".jpg")</f>
        <v>https://rondafotosp.petrobras.com.br/48680954.jpg</v>
      </c>
    </row>
    <row r="45" spans="1:13" x14ac:dyDescent="0.25">
      <c r="A45" t="s">
        <v>233</v>
      </c>
      <c r="B45">
        <v>4604458</v>
      </c>
      <c r="C45" t="s">
        <v>234</v>
      </c>
      <c r="D45" s="1">
        <v>44788</v>
      </c>
      <c r="E45" t="s">
        <v>14</v>
      </c>
      <c r="F45" t="s">
        <v>23</v>
      </c>
      <c r="G45" t="s">
        <v>16</v>
      </c>
      <c r="H45" t="s">
        <v>17</v>
      </c>
      <c r="I45" t="s">
        <v>25</v>
      </c>
      <c r="J45" t="s">
        <v>235</v>
      </c>
      <c r="K45" s="1">
        <v>46054</v>
      </c>
      <c r="L45" t="s">
        <v>236</v>
      </c>
      <c r="M45" t="str">
        <f>_xlfn.CONCAT(Table1[[#This Row],[FOTO_LOCALIZADOR_PESSOA]],".jpg")</f>
        <v>https://rondafotosp.petrobras.com.br/04604458.jpg</v>
      </c>
    </row>
    <row r="46" spans="1:13" x14ac:dyDescent="0.25">
      <c r="A46" t="s">
        <v>237</v>
      </c>
      <c r="B46">
        <v>9756540</v>
      </c>
      <c r="C46" t="s">
        <v>238</v>
      </c>
      <c r="D46" s="1">
        <v>39027</v>
      </c>
      <c r="E46" t="s">
        <v>14</v>
      </c>
      <c r="F46" t="s">
        <v>36</v>
      </c>
      <c r="G46" t="s">
        <v>16</v>
      </c>
      <c r="H46" t="s">
        <v>24</v>
      </c>
      <c r="I46" t="s">
        <v>18</v>
      </c>
      <c r="J46" t="s">
        <v>239</v>
      </c>
      <c r="K46" s="1">
        <v>45905.617118055554</v>
      </c>
      <c r="L46" t="s">
        <v>240</v>
      </c>
      <c r="M46" t="str">
        <f>_xlfn.CONCAT(Table1[[#This Row],[FOTO_LOCALIZADOR_PESSOA]],".jpg")</f>
        <v>https://rondafotosp.petrobras.com.br/09756540.jpg</v>
      </c>
    </row>
    <row r="47" spans="1:13" x14ac:dyDescent="0.25">
      <c r="A47" t="s">
        <v>241</v>
      </c>
      <c r="B47">
        <v>9902270</v>
      </c>
      <c r="C47" t="s">
        <v>242</v>
      </c>
      <c r="D47" s="1">
        <v>40367</v>
      </c>
      <c r="E47" t="s">
        <v>243</v>
      </c>
      <c r="F47" t="s">
        <v>96</v>
      </c>
      <c r="G47" t="s">
        <v>97</v>
      </c>
      <c r="H47" t="s">
        <v>24</v>
      </c>
      <c r="I47" t="s">
        <v>18</v>
      </c>
      <c r="J47" t="s">
        <v>244</v>
      </c>
      <c r="K47" s="1">
        <v>45998.500150462962</v>
      </c>
      <c r="L47" t="s">
        <v>245</v>
      </c>
      <c r="M47" t="str">
        <f>_xlfn.CONCAT(Table1[[#This Row],[FOTO_LOCALIZADOR_PESSOA]],".jpg")</f>
        <v>https://rondafotosp.petrobras.com.br/09902270.jpg</v>
      </c>
    </row>
    <row r="48" spans="1:13" x14ac:dyDescent="0.25">
      <c r="A48" t="s">
        <v>246</v>
      </c>
      <c r="B48">
        <v>2478482</v>
      </c>
      <c r="C48" t="s">
        <v>247</v>
      </c>
      <c r="D48" s="1">
        <v>41155</v>
      </c>
      <c r="E48" t="s">
        <v>14</v>
      </c>
      <c r="F48" t="s">
        <v>23</v>
      </c>
      <c r="G48" t="s">
        <v>16</v>
      </c>
      <c r="H48" t="s">
        <v>24</v>
      </c>
      <c r="I48" t="s">
        <v>18</v>
      </c>
      <c r="J48" t="s">
        <v>248</v>
      </c>
      <c r="K48" s="1">
        <v>46054</v>
      </c>
      <c r="L48" t="s">
        <v>249</v>
      </c>
      <c r="M48" t="str">
        <f>_xlfn.CONCAT(Table1[[#This Row],[FOTO_LOCALIZADOR_PESSOA]],".jpg")</f>
        <v>https://rondafotosp.petrobras.com.br/02478482.jpg</v>
      </c>
    </row>
    <row r="49" spans="1:13" x14ac:dyDescent="0.25">
      <c r="A49" t="s">
        <v>250</v>
      </c>
      <c r="B49">
        <v>212820</v>
      </c>
      <c r="C49" t="s">
        <v>251</v>
      </c>
      <c r="D49" s="1">
        <v>37519</v>
      </c>
      <c r="E49" t="s">
        <v>14</v>
      </c>
      <c r="F49" t="s">
        <v>63</v>
      </c>
      <c r="G49" t="s">
        <v>64</v>
      </c>
      <c r="H49" t="s">
        <v>24</v>
      </c>
      <c r="I49" t="s">
        <v>18</v>
      </c>
      <c r="J49" t="s">
        <v>252</v>
      </c>
      <c r="K49" s="1">
        <v>45269.089074074072</v>
      </c>
      <c r="L49" t="s">
        <v>253</v>
      </c>
      <c r="M49" t="str">
        <f>_xlfn.CONCAT(Table1[[#This Row],[FOTO_LOCALIZADOR_PESSOA]],".jpg")</f>
        <v>https://rondafotosp.petrobras.com.br/00212820.jpg</v>
      </c>
    </row>
    <row r="50" spans="1:13" x14ac:dyDescent="0.25">
      <c r="A50" t="s">
        <v>254</v>
      </c>
      <c r="B50">
        <v>4609163</v>
      </c>
      <c r="C50" t="s">
        <v>255</v>
      </c>
      <c r="D50" s="1">
        <v>45341</v>
      </c>
      <c r="E50" t="s">
        <v>14</v>
      </c>
      <c r="F50" t="s">
        <v>36</v>
      </c>
      <c r="G50" t="s">
        <v>16</v>
      </c>
      <c r="H50" t="s">
        <v>17</v>
      </c>
      <c r="I50" t="s">
        <v>25</v>
      </c>
      <c r="J50" t="s">
        <v>256</v>
      </c>
      <c r="K50" s="1">
        <v>45870</v>
      </c>
      <c r="L50" t="s">
        <v>257</v>
      </c>
      <c r="M50" t="str">
        <f>_xlfn.CONCAT(Table1[[#This Row],[FOTO_LOCALIZADOR_PESSOA]],".jpg")</f>
        <v>https://rondafotosp.petrobras.com.br/04609163.jpg</v>
      </c>
    </row>
    <row r="51" spans="1:13" x14ac:dyDescent="0.25">
      <c r="A51" t="s">
        <v>258</v>
      </c>
      <c r="B51">
        <v>4609228</v>
      </c>
      <c r="C51" t="s">
        <v>259</v>
      </c>
      <c r="D51" s="1">
        <v>45341</v>
      </c>
      <c r="E51" t="s">
        <v>14</v>
      </c>
      <c r="F51" t="s">
        <v>23</v>
      </c>
      <c r="G51" t="s">
        <v>16</v>
      </c>
      <c r="H51" t="s">
        <v>17</v>
      </c>
      <c r="I51" t="s">
        <v>25</v>
      </c>
      <c r="J51" t="s">
        <v>260</v>
      </c>
      <c r="K51" s="1">
        <v>46054</v>
      </c>
      <c r="L51" t="s">
        <v>261</v>
      </c>
      <c r="M51" t="str">
        <f>_xlfn.CONCAT(Table1[[#This Row],[FOTO_LOCALIZADOR_PESSOA]],".jpg")</f>
        <v>https://rondafotosp.petrobras.com.br/04609228.jpg</v>
      </c>
    </row>
    <row r="52" spans="1:13" x14ac:dyDescent="0.25">
      <c r="A52" t="s">
        <v>262</v>
      </c>
      <c r="B52">
        <v>4609580</v>
      </c>
      <c r="C52" t="s">
        <v>263</v>
      </c>
      <c r="D52" s="1">
        <v>45383</v>
      </c>
      <c r="E52" t="s">
        <v>14</v>
      </c>
      <c r="F52" t="s">
        <v>36</v>
      </c>
      <c r="G52" t="s">
        <v>16</v>
      </c>
      <c r="H52" t="s">
        <v>17</v>
      </c>
      <c r="I52" t="s">
        <v>18</v>
      </c>
      <c r="J52" t="s">
        <v>264</v>
      </c>
      <c r="K52" s="1">
        <v>45870</v>
      </c>
      <c r="L52" t="s">
        <v>265</v>
      </c>
      <c r="M52" t="str">
        <f>_xlfn.CONCAT(Table1[[#This Row],[FOTO_LOCALIZADOR_PESSOA]],".jpg")</f>
        <v>https://rondafotosp.petrobras.com.br/04609580.jpg</v>
      </c>
    </row>
    <row r="53" spans="1:13" x14ac:dyDescent="0.25">
      <c r="A53" t="s">
        <v>266</v>
      </c>
      <c r="B53">
        <v>9781375</v>
      </c>
      <c r="C53" t="s">
        <v>267</v>
      </c>
      <c r="D53" s="1">
        <v>39098</v>
      </c>
      <c r="E53" t="s">
        <v>14</v>
      </c>
      <c r="F53" t="s">
        <v>268</v>
      </c>
      <c r="G53" t="s">
        <v>269</v>
      </c>
      <c r="H53" t="s">
        <v>24</v>
      </c>
      <c r="I53" t="s">
        <v>270</v>
      </c>
      <c r="J53" t="s">
        <v>271</v>
      </c>
      <c r="K53" s="1">
        <v>45292.129861111112</v>
      </c>
      <c r="L53" t="s">
        <v>272</v>
      </c>
      <c r="M53" t="str">
        <f>_xlfn.CONCAT(Table1[[#This Row],[FOTO_LOCALIZADOR_PESSOA]],".jpg")</f>
        <v>https://rondafotosp.petrobras.com.br/09781375.jpg</v>
      </c>
    </row>
    <row r="54" spans="1:13" x14ac:dyDescent="0.25">
      <c r="A54" t="s">
        <v>273</v>
      </c>
      <c r="B54">
        <v>6204498</v>
      </c>
      <c r="C54" t="s">
        <v>274</v>
      </c>
      <c r="D54" s="1">
        <v>31503</v>
      </c>
      <c r="E54" t="s">
        <v>14</v>
      </c>
      <c r="F54" t="s">
        <v>178</v>
      </c>
      <c r="G54" t="s">
        <v>179</v>
      </c>
      <c r="H54" t="s">
        <v>46</v>
      </c>
      <c r="I54" t="s">
        <v>25</v>
      </c>
      <c r="J54" t="s">
        <v>275</v>
      </c>
      <c r="K54" s="1">
        <v>45839</v>
      </c>
      <c r="L54" t="s">
        <v>276</v>
      </c>
      <c r="M54" t="str">
        <f>_xlfn.CONCAT(Table1[[#This Row],[FOTO_LOCALIZADOR_PESSOA]],".jpg")</f>
        <v>https://rondafotosp.petrobras.com.br/06204498.jpg</v>
      </c>
    </row>
    <row r="55" spans="1:13" x14ac:dyDescent="0.25">
      <c r="A55" t="s">
        <v>277</v>
      </c>
      <c r="B55">
        <v>209471</v>
      </c>
      <c r="C55" t="s">
        <v>278</v>
      </c>
      <c r="D55" s="1">
        <v>36945</v>
      </c>
      <c r="E55" t="s">
        <v>14</v>
      </c>
      <c r="F55" t="s">
        <v>279</v>
      </c>
      <c r="G55" t="s">
        <v>280</v>
      </c>
      <c r="H55" t="s">
        <v>46</v>
      </c>
      <c r="I55" t="s">
        <v>25</v>
      </c>
      <c r="J55" t="s">
        <v>281</v>
      </c>
      <c r="K55" s="1">
        <v>45273.525625000002</v>
      </c>
      <c r="L55" t="s">
        <v>282</v>
      </c>
      <c r="M55" t="str">
        <f>_xlfn.CONCAT(Table1[[#This Row],[FOTO_LOCALIZADOR_PESSOA]],".jpg")</f>
        <v>https://rondafotosp.petrobras.com.br/00209471.jpg</v>
      </c>
    </row>
    <row r="56" spans="1:13" x14ac:dyDescent="0.25">
      <c r="A56" t="s">
        <v>283</v>
      </c>
      <c r="B56">
        <v>9727137</v>
      </c>
      <c r="C56" t="s">
        <v>284</v>
      </c>
      <c r="D56" s="1">
        <v>38901</v>
      </c>
      <c r="E56" t="s">
        <v>115</v>
      </c>
      <c r="F56" t="s">
        <v>15</v>
      </c>
      <c r="G56" t="s">
        <v>16</v>
      </c>
      <c r="H56" t="s">
        <v>46</v>
      </c>
      <c r="I56" t="s">
        <v>87</v>
      </c>
      <c r="J56" t="s">
        <v>285</v>
      </c>
      <c r="K56" s="1">
        <v>45890.681562500002</v>
      </c>
      <c r="L56" t="s">
        <v>286</v>
      </c>
      <c r="M56" t="str">
        <f>_xlfn.CONCAT(Table1[[#This Row],[FOTO_LOCALIZADOR_PESSOA]],".jpg")</f>
        <v>https://rondafotosp.petrobras.com.br/09727137.jpg</v>
      </c>
    </row>
    <row r="57" spans="1:13" x14ac:dyDescent="0.25">
      <c r="A57" t="s">
        <v>287</v>
      </c>
      <c r="B57">
        <v>9731998</v>
      </c>
      <c r="C57" t="s">
        <v>288</v>
      </c>
      <c r="D57" s="1">
        <v>38915</v>
      </c>
      <c r="E57" t="s">
        <v>14</v>
      </c>
      <c r="F57" t="s">
        <v>63</v>
      </c>
      <c r="G57" t="s">
        <v>64</v>
      </c>
      <c r="H57" t="s">
        <v>24</v>
      </c>
      <c r="I57" t="s">
        <v>18</v>
      </c>
      <c r="J57" t="s">
        <v>289</v>
      </c>
      <c r="K57" s="1">
        <v>45179.003634259258</v>
      </c>
      <c r="L57" t="s">
        <v>290</v>
      </c>
      <c r="M57" t="str">
        <f>_xlfn.CONCAT(Table1[[#This Row],[FOTO_LOCALIZADOR_PESSOA]],".jpg")</f>
        <v>https://rondafotosp.petrobras.com.br/09731998.jpg</v>
      </c>
    </row>
    <row r="58" spans="1:13" x14ac:dyDescent="0.25">
      <c r="A58" t="s">
        <v>291</v>
      </c>
      <c r="B58">
        <v>9730523</v>
      </c>
      <c r="C58" t="s">
        <v>292</v>
      </c>
      <c r="D58" s="1">
        <v>38901</v>
      </c>
      <c r="E58" t="s">
        <v>108</v>
      </c>
      <c r="F58" t="s">
        <v>15</v>
      </c>
      <c r="G58" t="s">
        <v>16</v>
      </c>
      <c r="H58" t="s">
        <v>46</v>
      </c>
      <c r="I58" t="s">
        <v>18</v>
      </c>
      <c r="J58" t="s">
        <v>293</v>
      </c>
      <c r="K58" s="1">
        <v>45269.105208333334</v>
      </c>
      <c r="L58" t="s">
        <v>294</v>
      </c>
      <c r="M58" t="str">
        <f>_xlfn.CONCAT(Table1[[#This Row],[FOTO_LOCALIZADOR_PESSOA]],".jpg")</f>
        <v>https://rondafotosp.petrobras.com.br/09730523.jpg</v>
      </c>
    </row>
    <row r="59" spans="1:13" x14ac:dyDescent="0.25">
      <c r="A59" t="s">
        <v>295</v>
      </c>
      <c r="B59">
        <v>4609097</v>
      </c>
      <c r="C59" t="s">
        <v>296</v>
      </c>
      <c r="D59" s="1">
        <v>45341</v>
      </c>
      <c r="E59" t="s">
        <v>14</v>
      </c>
      <c r="F59" t="s">
        <v>36</v>
      </c>
      <c r="G59" t="s">
        <v>16</v>
      </c>
      <c r="H59" t="s">
        <v>17</v>
      </c>
      <c r="I59" t="s">
        <v>25</v>
      </c>
      <c r="J59" t="s">
        <v>297</v>
      </c>
      <c r="K59" s="1">
        <v>45870</v>
      </c>
      <c r="L59" t="s">
        <v>298</v>
      </c>
      <c r="M59" t="str">
        <f>_xlfn.CONCAT(Table1[[#This Row],[FOTO_LOCALIZADOR_PESSOA]],".jpg")</f>
        <v>https://rondafotosp.petrobras.com.br/04609097.jpg</v>
      </c>
    </row>
    <row r="60" spans="1:13" x14ac:dyDescent="0.25">
      <c r="A60" t="s">
        <v>299</v>
      </c>
      <c r="B60">
        <v>2478088</v>
      </c>
      <c r="C60" t="s">
        <v>300</v>
      </c>
      <c r="D60" s="1">
        <v>41155</v>
      </c>
      <c r="E60" t="s">
        <v>14</v>
      </c>
      <c r="F60" t="s">
        <v>36</v>
      </c>
      <c r="G60" t="s">
        <v>16</v>
      </c>
      <c r="H60" t="s">
        <v>24</v>
      </c>
      <c r="I60" t="s">
        <v>18</v>
      </c>
      <c r="J60" t="s">
        <v>301</v>
      </c>
      <c r="K60" s="1">
        <v>46024</v>
      </c>
      <c r="L60" t="s">
        <v>302</v>
      </c>
      <c r="M60" t="str">
        <f>_xlfn.CONCAT(Table1[[#This Row],[FOTO_LOCALIZADOR_PESSOA]],".jpg")</f>
        <v>https://rondafotosp.petrobras.com.br/02478088.jpg</v>
      </c>
    </row>
    <row r="61" spans="1:13" x14ac:dyDescent="0.25">
      <c r="A61" t="s">
        <v>303</v>
      </c>
      <c r="B61">
        <v>9679504</v>
      </c>
      <c r="C61" t="s">
        <v>304</v>
      </c>
      <c r="D61" s="1">
        <v>38723</v>
      </c>
      <c r="E61" t="s">
        <v>14</v>
      </c>
      <c r="F61" t="s">
        <v>63</v>
      </c>
      <c r="G61" t="s">
        <v>64</v>
      </c>
      <c r="H61" t="s">
        <v>24</v>
      </c>
      <c r="I61" t="s">
        <v>18</v>
      </c>
      <c r="J61" t="s">
        <v>305</v>
      </c>
      <c r="K61" s="1">
        <v>46023</v>
      </c>
      <c r="L61" t="s">
        <v>306</v>
      </c>
      <c r="M61" t="str">
        <f>_xlfn.CONCAT(Table1[[#This Row],[FOTO_LOCALIZADOR_PESSOA]],".jpg")</f>
        <v>https://rondafotosp.petrobras.com.br/09679504.jpg</v>
      </c>
    </row>
    <row r="62" spans="1:13" x14ac:dyDescent="0.25">
      <c r="A62" t="s">
        <v>307</v>
      </c>
      <c r="B62">
        <v>9736970</v>
      </c>
      <c r="C62" t="s">
        <v>308</v>
      </c>
      <c r="D62" s="1">
        <v>38939</v>
      </c>
      <c r="E62" t="s">
        <v>14</v>
      </c>
      <c r="F62" t="s">
        <v>15</v>
      </c>
      <c r="G62" t="s">
        <v>16</v>
      </c>
      <c r="H62" t="s">
        <v>24</v>
      </c>
      <c r="I62" t="s">
        <v>18</v>
      </c>
      <c r="J62" t="s">
        <v>309</v>
      </c>
      <c r="K62" s="1">
        <v>45999.419004629628</v>
      </c>
      <c r="L62" t="s">
        <v>310</v>
      </c>
      <c r="M62" t="str">
        <f>_xlfn.CONCAT(Table1[[#This Row],[FOTO_LOCALIZADOR_PESSOA]],".jpg")</f>
        <v>https://rondafotosp.petrobras.com.br/09736970.jpg</v>
      </c>
    </row>
    <row r="63" spans="1:13" x14ac:dyDescent="0.25">
      <c r="A63" t="s">
        <v>311</v>
      </c>
      <c r="B63">
        <v>9916182</v>
      </c>
      <c r="C63" t="s">
        <v>312</v>
      </c>
      <c r="D63" s="1">
        <v>40430</v>
      </c>
      <c r="E63" t="s">
        <v>14</v>
      </c>
      <c r="F63" t="s">
        <v>36</v>
      </c>
      <c r="G63" t="s">
        <v>16</v>
      </c>
      <c r="H63" t="s">
        <v>24</v>
      </c>
      <c r="I63" t="s">
        <v>25</v>
      </c>
      <c r="J63" t="s">
        <v>313</v>
      </c>
      <c r="K63" s="1">
        <v>45870</v>
      </c>
      <c r="L63" t="s">
        <v>314</v>
      </c>
      <c r="M63" t="str">
        <f>_xlfn.CONCAT(Table1[[#This Row],[FOTO_LOCALIZADOR_PESSOA]],".jpg")</f>
        <v>https://rondafotosp.petrobras.com.br/09916182.jpg</v>
      </c>
    </row>
    <row r="64" spans="1:13" x14ac:dyDescent="0.25">
      <c r="A64" t="s">
        <v>315</v>
      </c>
      <c r="B64">
        <v>9887354</v>
      </c>
      <c r="C64" t="s">
        <v>316</v>
      </c>
      <c r="D64" s="1">
        <v>40028</v>
      </c>
      <c r="E64" t="s">
        <v>45</v>
      </c>
      <c r="F64" t="s">
        <v>63</v>
      </c>
      <c r="G64" t="s">
        <v>64</v>
      </c>
      <c r="H64" t="s">
        <v>46</v>
      </c>
      <c r="I64" t="s">
        <v>25</v>
      </c>
      <c r="J64" t="s">
        <v>317</v>
      </c>
      <c r="K64" s="1">
        <v>45474</v>
      </c>
      <c r="L64" t="s">
        <v>318</v>
      </c>
      <c r="M64" t="str">
        <f>_xlfn.CONCAT(Table1[[#This Row],[FOTO_LOCALIZADOR_PESSOA]],".jpg")</f>
        <v>https://rondafotosp.petrobras.com.br/09887354.jpg</v>
      </c>
    </row>
    <row r="65" spans="1:13" x14ac:dyDescent="0.25">
      <c r="A65" t="s">
        <v>319</v>
      </c>
      <c r="B65">
        <v>9765770</v>
      </c>
      <c r="C65" t="s">
        <v>320</v>
      </c>
      <c r="D65" s="1">
        <v>39086</v>
      </c>
      <c r="E65" t="s">
        <v>14</v>
      </c>
      <c r="F65" t="s">
        <v>134</v>
      </c>
      <c r="G65" t="s">
        <v>135</v>
      </c>
      <c r="H65" t="s">
        <v>24</v>
      </c>
      <c r="I65" t="s">
        <v>18</v>
      </c>
      <c r="J65" t="s">
        <v>321</v>
      </c>
      <c r="K65" s="1">
        <v>46054</v>
      </c>
      <c r="L65" t="s">
        <v>322</v>
      </c>
      <c r="M65" t="str">
        <f>_xlfn.CONCAT(Table1[[#This Row],[FOTO_LOCALIZADOR_PESSOA]],".jpg")</f>
        <v>https://rondafotosp.petrobras.com.br/09765770.jpg</v>
      </c>
    </row>
    <row r="66" spans="1:13" x14ac:dyDescent="0.25">
      <c r="A66" t="s">
        <v>323</v>
      </c>
      <c r="B66">
        <v>9654614</v>
      </c>
      <c r="C66" t="s">
        <v>324</v>
      </c>
      <c r="D66" s="1">
        <v>38565</v>
      </c>
      <c r="E66" t="s">
        <v>14</v>
      </c>
      <c r="F66" t="s">
        <v>36</v>
      </c>
      <c r="G66" t="s">
        <v>16</v>
      </c>
      <c r="H66" t="s">
        <v>46</v>
      </c>
      <c r="I66" t="s">
        <v>25</v>
      </c>
      <c r="J66" t="s">
        <v>325</v>
      </c>
      <c r="K66" s="1">
        <v>45998.443888888891</v>
      </c>
      <c r="L66" t="s">
        <v>326</v>
      </c>
      <c r="M66" t="str">
        <f>_xlfn.CONCAT(Table1[[#This Row],[FOTO_LOCALIZADOR_PESSOA]],".jpg")</f>
        <v>https://rondafotosp.petrobras.com.br/09654614.jpg</v>
      </c>
    </row>
    <row r="67" spans="1:13" x14ac:dyDescent="0.25">
      <c r="A67" t="s">
        <v>327</v>
      </c>
      <c r="B67">
        <v>2468151</v>
      </c>
      <c r="C67" t="s">
        <v>328</v>
      </c>
      <c r="D67" s="1">
        <v>41032</v>
      </c>
      <c r="E67" t="s">
        <v>14</v>
      </c>
      <c r="F67" t="s">
        <v>63</v>
      </c>
      <c r="G67" t="s">
        <v>64</v>
      </c>
      <c r="H67" t="s">
        <v>24</v>
      </c>
      <c r="I67" t="s">
        <v>18</v>
      </c>
      <c r="J67" t="s">
        <v>329</v>
      </c>
      <c r="K67" s="1">
        <v>45274.582870370374</v>
      </c>
      <c r="L67" t="s">
        <v>330</v>
      </c>
      <c r="M67" t="str">
        <f>_xlfn.CONCAT(Table1[[#This Row],[FOTO_LOCALIZADOR_PESSOA]],".jpg")</f>
        <v>https://rondafotosp.petrobras.com.br/02468151.jpg</v>
      </c>
    </row>
    <row r="68" spans="1:13" x14ac:dyDescent="0.25">
      <c r="A68" t="s">
        <v>331</v>
      </c>
      <c r="B68">
        <v>4609399</v>
      </c>
      <c r="C68" t="s">
        <v>332</v>
      </c>
      <c r="D68" s="1">
        <v>45341</v>
      </c>
      <c r="E68" t="s">
        <v>14</v>
      </c>
      <c r="F68" t="s">
        <v>134</v>
      </c>
      <c r="G68" t="s">
        <v>135</v>
      </c>
      <c r="H68" t="s">
        <v>17</v>
      </c>
      <c r="I68" t="s">
        <v>25</v>
      </c>
      <c r="J68" t="s">
        <v>333</v>
      </c>
      <c r="K68" s="1">
        <v>46054</v>
      </c>
      <c r="L68" t="s">
        <v>334</v>
      </c>
      <c r="M68" t="str">
        <f>_xlfn.CONCAT(Table1[[#This Row],[FOTO_LOCALIZADOR_PESSOA]],".jpg")</f>
        <v>https://rondafotosp.petrobras.com.br/04609399.jpg</v>
      </c>
    </row>
    <row r="69" spans="1:13" x14ac:dyDescent="0.25">
      <c r="A69" t="s">
        <v>335</v>
      </c>
      <c r="B69">
        <v>4604529</v>
      </c>
      <c r="C69" t="s">
        <v>336</v>
      </c>
      <c r="D69" s="1">
        <v>44788</v>
      </c>
      <c r="E69" t="s">
        <v>14</v>
      </c>
      <c r="F69" t="s">
        <v>63</v>
      </c>
      <c r="G69" t="s">
        <v>64</v>
      </c>
      <c r="H69" t="s">
        <v>17</v>
      </c>
      <c r="I69" t="s">
        <v>25</v>
      </c>
      <c r="J69" t="s">
        <v>337</v>
      </c>
      <c r="K69" s="1">
        <v>45273.063692129632</v>
      </c>
      <c r="L69" t="s">
        <v>338</v>
      </c>
      <c r="M69" t="str">
        <f>_xlfn.CONCAT(Table1[[#This Row],[FOTO_LOCALIZADOR_PESSOA]],".jpg")</f>
        <v>https://rondafotosp.petrobras.com.br/04604529.jpg</v>
      </c>
    </row>
    <row r="70" spans="1:13" x14ac:dyDescent="0.25">
      <c r="A70" t="s">
        <v>339</v>
      </c>
      <c r="B70">
        <v>4609576</v>
      </c>
      <c r="C70" t="s">
        <v>340</v>
      </c>
      <c r="D70" s="1">
        <v>45383</v>
      </c>
      <c r="E70" t="s">
        <v>14</v>
      </c>
      <c r="F70" t="s">
        <v>341</v>
      </c>
      <c r="G70" t="s">
        <v>342</v>
      </c>
      <c r="H70" t="s">
        <v>17</v>
      </c>
      <c r="I70" t="s">
        <v>18</v>
      </c>
      <c r="J70" t="s">
        <v>343</v>
      </c>
      <c r="K70" s="1">
        <v>46054</v>
      </c>
      <c r="L70" t="s">
        <v>344</v>
      </c>
      <c r="M70" t="str">
        <f>_xlfn.CONCAT(Table1[[#This Row],[FOTO_LOCALIZADOR_PESSOA]],".jpg")</f>
        <v>https://rondafotosp.petrobras.com.br/04609576.jpg</v>
      </c>
    </row>
    <row r="71" spans="1:13" x14ac:dyDescent="0.25">
      <c r="A71" t="s">
        <v>345</v>
      </c>
      <c r="B71">
        <v>9693180</v>
      </c>
      <c r="C71" t="s">
        <v>346</v>
      </c>
      <c r="D71" s="1">
        <v>38796</v>
      </c>
      <c r="E71" t="s">
        <v>14</v>
      </c>
      <c r="F71" t="s">
        <v>96</v>
      </c>
      <c r="G71" t="s">
        <v>97</v>
      </c>
      <c r="H71" t="s">
        <v>347</v>
      </c>
      <c r="I71" t="s">
        <v>198</v>
      </c>
      <c r="J71" t="s">
        <v>348</v>
      </c>
      <c r="K71" s="1">
        <v>45689</v>
      </c>
      <c r="L71" t="s">
        <v>349</v>
      </c>
      <c r="M71" t="str">
        <f>_xlfn.CONCAT(Table1[[#This Row],[FOTO_LOCALIZADOR_PESSOA]],".jpg")</f>
        <v>https://rondafotosp.petrobras.com.br/09693180.jpg</v>
      </c>
    </row>
    <row r="72" spans="1:13" x14ac:dyDescent="0.25">
      <c r="A72" t="s">
        <v>350</v>
      </c>
      <c r="B72">
        <v>324485</v>
      </c>
      <c r="C72" t="s">
        <v>351</v>
      </c>
      <c r="D72" s="1">
        <v>30749</v>
      </c>
      <c r="E72" t="s">
        <v>352</v>
      </c>
      <c r="F72" t="s">
        <v>353</v>
      </c>
      <c r="G72" t="s">
        <v>354</v>
      </c>
      <c r="H72" t="s">
        <v>46</v>
      </c>
      <c r="I72" t="s">
        <v>25</v>
      </c>
      <c r="J72" t="s">
        <v>355</v>
      </c>
      <c r="K72" s="1">
        <v>45566</v>
      </c>
      <c r="L72" t="s">
        <v>356</v>
      </c>
      <c r="M72" t="str">
        <f>_xlfn.CONCAT(Table1[[#This Row],[FOTO_LOCALIZADOR_PESSOA]],".jpg")</f>
        <v>https://rondafotosp.petrobras.com.br/00324485.jpg</v>
      </c>
    </row>
    <row r="73" spans="1:13" x14ac:dyDescent="0.25">
      <c r="A73" t="s">
        <v>357</v>
      </c>
      <c r="B73">
        <v>9915310</v>
      </c>
      <c r="C73" t="s">
        <v>358</v>
      </c>
      <c r="D73" s="1">
        <v>40430</v>
      </c>
      <c r="E73" t="s">
        <v>14</v>
      </c>
      <c r="F73" t="s">
        <v>36</v>
      </c>
      <c r="G73" t="s">
        <v>16</v>
      </c>
      <c r="H73" t="s">
        <v>24</v>
      </c>
      <c r="I73" t="s">
        <v>25</v>
      </c>
      <c r="J73" t="s">
        <v>359</v>
      </c>
      <c r="K73" s="1">
        <v>45870</v>
      </c>
      <c r="L73" t="s">
        <v>360</v>
      </c>
      <c r="M73" t="str">
        <f>_xlfn.CONCAT(Table1[[#This Row],[FOTO_LOCALIZADOR_PESSOA]],".jpg")</f>
        <v>https://rondafotosp.petrobras.com.br/09915310.jpg</v>
      </c>
    </row>
    <row r="74" spans="1:13" x14ac:dyDescent="0.25">
      <c r="A74" t="s">
        <v>361</v>
      </c>
      <c r="B74">
        <v>214782</v>
      </c>
      <c r="C74" t="s">
        <v>362</v>
      </c>
      <c r="D74" s="1">
        <v>37519</v>
      </c>
      <c r="E74" t="s">
        <v>45</v>
      </c>
      <c r="F74" t="s">
        <v>15</v>
      </c>
      <c r="G74" t="s">
        <v>16</v>
      </c>
      <c r="H74" t="s">
        <v>46</v>
      </c>
      <c r="I74" t="s">
        <v>18</v>
      </c>
      <c r="J74" t="s">
        <v>363</v>
      </c>
      <c r="K74" s="1">
        <v>45273.685578703706</v>
      </c>
      <c r="L74" t="s">
        <v>364</v>
      </c>
      <c r="M74" t="str">
        <f>_xlfn.CONCAT(Table1[[#This Row],[FOTO_LOCALIZADOR_PESSOA]],".jpg")</f>
        <v>https://rondafotosp.petrobras.com.br/00214782.jpg</v>
      </c>
    </row>
    <row r="75" spans="1:13" x14ac:dyDescent="0.25">
      <c r="A75" t="s">
        <v>365</v>
      </c>
      <c r="B75">
        <v>4609122</v>
      </c>
      <c r="C75" t="s">
        <v>366</v>
      </c>
      <c r="D75" s="1">
        <v>45341</v>
      </c>
      <c r="E75" t="s">
        <v>14</v>
      </c>
      <c r="F75" t="s">
        <v>23</v>
      </c>
      <c r="G75" t="s">
        <v>16</v>
      </c>
      <c r="H75" t="s">
        <v>17</v>
      </c>
      <c r="I75" t="s">
        <v>25</v>
      </c>
      <c r="J75" t="s">
        <v>367</v>
      </c>
      <c r="K75" s="1">
        <v>46054</v>
      </c>
      <c r="L75" t="s">
        <v>368</v>
      </c>
      <c r="M75" t="str">
        <f>_xlfn.CONCAT(Table1[[#This Row],[FOTO_LOCALIZADOR_PESSOA]],".jpg")</f>
        <v>https://rondafotosp.petrobras.com.br/04609122.jpg</v>
      </c>
    </row>
    <row r="76" spans="1:13" x14ac:dyDescent="0.25">
      <c r="A76" t="s">
        <v>369</v>
      </c>
      <c r="B76">
        <v>9860250</v>
      </c>
      <c r="C76" t="s">
        <v>370</v>
      </c>
      <c r="D76" s="1">
        <v>39706</v>
      </c>
      <c r="E76" t="s">
        <v>14</v>
      </c>
      <c r="F76" t="s">
        <v>96</v>
      </c>
      <c r="G76" t="s">
        <v>97</v>
      </c>
      <c r="H76" t="s">
        <v>24</v>
      </c>
      <c r="I76" t="s">
        <v>18</v>
      </c>
      <c r="J76" t="s">
        <v>371</v>
      </c>
      <c r="K76" s="1">
        <v>45862.692337962966</v>
      </c>
      <c r="L76" t="s">
        <v>372</v>
      </c>
      <c r="M76" t="str">
        <f>_xlfn.CONCAT(Table1[[#This Row],[FOTO_LOCALIZADOR_PESSOA]],".jpg")</f>
        <v>https://rondafotosp.petrobras.com.br/09860250.jpg</v>
      </c>
    </row>
    <row r="77" spans="1:13" x14ac:dyDescent="0.25">
      <c r="A77" t="s">
        <v>373</v>
      </c>
      <c r="B77">
        <v>185051</v>
      </c>
      <c r="C77" t="s">
        <v>374</v>
      </c>
      <c r="D77" s="1">
        <v>33119</v>
      </c>
      <c r="E77" t="s">
        <v>14</v>
      </c>
      <c r="F77" t="s">
        <v>96</v>
      </c>
      <c r="G77" t="s">
        <v>97</v>
      </c>
      <c r="H77" t="s">
        <v>46</v>
      </c>
      <c r="I77" t="s">
        <v>18</v>
      </c>
      <c r="J77" t="s">
        <v>375</v>
      </c>
      <c r="K77" s="1">
        <v>45689</v>
      </c>
      <c r="L77" t="s">
        <v>376</v>
      </c>
      <c r="M77" t="str">
        <f>_xlfn.CONCAT(Table1[[#This Row],[FOTO_LOCALIZADOR_PESSOA]],".jpg")</f>
        <v>https://rondafotosp.petrobras.com.br/00185051.jpg</v>
      </c>
    </row>
    <row r="78" spans="1:13" x14ac:dyDescent="0.25">
      <c r="A78" t="s">
        <v>377</v>
      </c>
      <c r="B78">
        <v>4606266</v>
      </c>
      <c r="C78" t="s">
        <v>378</v>
      </c>
      <c r="D78" s="1">
        <v>44984</v>
      </c>
      <c r="E78" t="s">
        <v>14</v>
      </c>
      <c r="F78" t="s">
        <v>36</v>
      </c>
      <c r="G78" t="s">
        <v>16</v>
      </c>
      <c r="H78" t="s">
        <v>17</v>
      </c>
      <c r="I78" t="s">
        <v>18</v>
      </c>
      <c r="J78" t="s">
        <v>379</v>
      </c>
      <c r="K78" s="1">
        <v>45870</v>
      </c>
      <c r="L78" t="s">
        <v>380</v>
      </c>
      <c r="M78" t="str">
        <f>_xlfn.CONCAT(Table1[[#This Row],[FOTO_LOCALIZADOR_PESSOA]],".jpg")</f>
        <v>https://rondafotosp.petrobras.com.br/04606266.jpg</v>
      </c>
    </row>
    <row r="79" spans="1:13" x14ac:dyDescent="0.25">
      <c r="A79" t="s">
        <v>381</v>
      </c>
      <c r="B79">
        <v>4606271</v>
      </c>
      <c r="C79" t="s">
        <v>382</v>
      </c>
      <c r="D79" s="1">
        <v>44984</v>
      </c>
      <c r="E79" t="s">
        <v>14</v>
      </c>
      <c r="F79" t="s">
        <v>36</v>
      </c>
      <c r="G79" t="s">
        <v>16</v>
      </c>
      <c r="H79" t="s">
        <v>17</v>
      </c>
      <c r="I79" t="s">
        <v>18</v>
      </c>
      <c r="J79" t="s">
        <v>383</v>
      </c>
      <c r="K79" s="1">
        <v>45870</v>
      </c>
      <c r="L79" t="s">
        <v>384</v>
      </c>
      <c r="M79" t="str">
        <f>_xlfn.CONCAT(Table1[[#This Row],[FOTO_LOCALIZADOR_PESSOA]],".jpg")</f>
        <v>https://rondafotosp.petrobras.com.br/04606271.jpg</v>
      </c>
    </row>
    <row r="80" spans="1:13" x14ac:dyDescent="0.25">
      <c r="A80" t="s">
        <v>385</v>
      </c>
      <c r="B80">
        <v>9629513</v>
      </c>
      <c r="C80" t="s">
        <v>386</v>
      </c>
      <c r="D80" s="1">
        <v>38231</v>
      </c>
      <c r="E80" t="s">
        <v>115</v>
      </c>
      <c r="F80" t="s">
        <v>15</v>
      </c>
      <c r="G80" t="s">
        <v>16</v>
      </c>
      <c r="H80" t="s">
        <v>46</v>
      </c>
      <c r="I80" t="s">
        <v>18</v>
      </c>
      <c r="J80" t="s">
        <v>387</v>
      </c>
      <c r="K80" s="1">
        <v>45413</v>
      </c>
      <c r="L80" t="s">
        <v>388</v>
      </c>
      <c r="M80" t="str">
        <f>_xlfn.CONCAT(Table1[[#This Row],[FOTO_LOCALIZADOR_PESSOA]],".jpg")</f>
        <v>https://rondafotosp.petrobras.com.br/09629513.jpg</v>
      </c>
    </row>
    <row r="81" spans="1:13" x14ac:dyDescent="0.25">
      <c r="A81" t="s">
        <v>389</v>
      </c>
      <c r="B81">
        <v>2438091</v>
      </c>
      <c r="C81" t="s">
        <v>390</v>
      </c>
      <c r="D81" s="1">
        <v>40913</v>
      </c>
      <c r="E81" t="s">
        <v>14</v>
      </c>
      <c r="F81" t="s">
        <v>36</v>
      </c>
      <c r="G81" t="s">
        <v>16</v>
      </c>
      <c r="H81" t="s">
        <v>221</v>
      </c>
      <c r="I81" t="s">
        <v>18</v>
      </c>
      <c r="J81" t="s">
        <v>391</v>
      </c>
      <c r="K81" s="1">
        <v>45870</v>
      </c>
      <c r="L81" t="s">
        <v>392</v>
      </c>
      <c r="M81" t="str">
        <f>_xlfn.CONCAT(Table1[[#This Row],[FOTO_LOCALIZADOR_PESSOA]],".jpg")</f>
        <v>https://rondafotosp.petrobras.com.br/02438091.jpg</v>
      </c>
    </row>
    <row r="82" spans="1:13" x14ac:dyDescent="0.25">
      <c r="A82" t="s">
        <v>393</v>
      </c>
      <c r="B82">
        <v>9871750</v>
      </c>
      <c r="C82" t="s">
        <v>394</v>
      </c>
      <c r="D82" s="1">
        <v>39762</v>
      </c>
      <c r="E82" t="s">
        <v>14</v>
      </c>
      <c r="F82" t="s">
        <v>23</v>
      </c>
      <c r="G82" t="s">
        <v>16</v>
      </c>
      <c r="H82" t="s">
        <v>24</v>
      </c>
      <c r="I82" t="s">
        <v>18</v>
      </c>
      <c r="J82" t="s">
        <v>395</v>
      </c>
      <c r="K82" s="1">
        <v>46054</v>
      </c>
      <c r="L82" t="s">
        <v>396</v>
      </c>
      <c r="M82" t="str">
        <f>_xlfn.CONCAT(Table1[[#This Row],[FOTO_LOCALIZADOR_PESSOA]],".jpg")</f>
        <v>https://rondafotosp.petrobras.com.br/09871750.jpg</v>
      </c>
    </row>
    <row r="83" spans="1:13" x14ac:dyDescent="0.25">
      <c r="A83" t="s">
        <v>397</v>
      </c>
      <c r="B83">
        <v>9758083</v>
      </c>
      <c r="C83" t="s">
        <v>398</v>
      </c>
      <c r="D83" s="1">
        <v>39027</v>
      </c>
      <c r="E83" t="s">
        <v>14</v>
      </c>
      <c r="F83" t="s">
        <v>399</v>
      </c>
      <c r="G83" t="s">
        <v>400</v>
      </c>
      <c r="H83" t="s">
        <v>24</v>
      </c>
      <c r="I83" t="s">
        <v>18</v>
      </c>
      <c r="J83" t="s">
        <v>401</v>
      </c>
      <c r="K83" s="1">
        <v>45689</v>
      </c>
      <c r="L83" t="s">
        <v>402</v>
      </c>
      <c r="M83" t="str">
        <f>_xlfn.CONCAT(Table1[[#This Row],[FOTO_LOCALIZADOR_PESSOA]],".jpg")</f>
        <v>https://rondafotosp.petrobras.com.br/09758083.jpg</v>
      </c>
    </row>
    <row r="84" spans="1:13" x14ac:dyDescent="0.25">
      <c r="A84" t="s">
        <v>403</v>
      </c>
      <c r="B84">
        <v>204045</v>
      </c>
      <c r="C84" t="s">
        <v>404</v>
      </c>
      <c r="D84" s="1">
        <v>36923</v>
      </c>
      <c r="E84" t="s">
        <v>115</v>
      </c>
      <c r="F84" t="s">
        <v>405</v>
      </c>
      <c r="G84" t="s">
        <v>406</v>
      </c>
      <c r="H84" t="s">
        <v>46</v>
      </c>
      <c r="I84" t="s">
        <v>226</v>
      </c>
      <c r="J84" t="s">
        <v>407</v>
      </c>
      <c r="K84" s="1">
        <v>45273.525590277779</v>
      </c>
      <c r="L84" t="s">
        <v>408</v>
      </c>
      <c r="M84" t="str">
        <f>_xlfn.CONCAT(Table1[[#This Row],[FOTO_LOCALIZADOR_PESSOA]],".jpg")</f>
        <v>https://rondafotosp.petrobras.com.br/00204045.jpg</v>
      </c>
    </row>
    <row r="85" spans="1:13" x14ac:dyDescent="0.25">
      <c r="A85" t="s">
        <v>409</v>
      </c>
      <c r="B85">
        <v>9654903</v>
      </c>
      <c r="C85" t="s">
        <v>410</v>
      </c>
      <c r="D85" s="1">
        <v>38565</v>
      </c>
      <c r="E85" t="s">
        <v>14</v>
      </c>
      <c r="F85" t="s">
        <v>15</v>
      </c>
      <c r="G85" t="s">
        <v>16</v>
      </c>
      <c r="H85" t="s">
        <v>24</v>
      </c>
      <c r="I85" t="s">
        <v>25</v>
      </c>
      <c r="J85" t="s">
        <v>411</v>
      </c>
      <c r="K85" s="1">
        <v>45689</v>
      </c>
      <c r="L85" t="s">
        <v>412</v>
      </c>
      <c r="M85" t="str">
        <f>_xlfn.CONCAT(Table1[[#This Row],[FOTO_LOCALIZADOR_PESSOA]],".jpg")</f>
        <v>https://rondafotosp.petrobras.com.br/09654903.jpg</v>
      </c>
    </row>
    <row r="86" spans="1:13" x14ac:dyDescent="0.25">
      <c r="A86" t="s">
        <v>413</v>
      </c>
      <c r="B86">
        <v>215350</v>
      </c>
      <c r="C86" t="s">
        <v>414</v>
      </c>
      <c r="D86" s="1">
        <v>37519</v>
      </c>
      <c r="E86" t="s">
        <v>108</v>
      </c>
      <c r="F86" t="s">
        <v>415</v>
      </c>
      <c r="G86" t="s">
        <v>135</v>
      </c>
      <c r="H86" t="s">
        <v>46</v>
      </c>
      <c r="I86" t="s">
        <v>18</v>
      </c>
      <c r="J86" t="s">
        <v>416</v>
      </c>
      <c r="K86" s="1">
        <v>46054</v>
      </c>
      <c r="L86" t="s">
        <v>417</v>
      </c>
      <c r="M86" t="str">
        <f>_xlfn.CONCAT(Table1[[#This Row],[FOTO_LOCALIZADOR_PESSOA]],".jpg")</f>
        <v>https://rondafotosp.petrobras.com.br/00215350.jpg</v>
      </c>
    </row>
    <row r="87" spans="1:13" x14ac:dyDescent="0.25">
      <c r="A87" t="s">
        <v>418</v>
      </c>
      <c r="B87">
        <v>2468102</v>
      </c>
      <c r="C87" t="s">
        <v>419</v>
      </c>
      <c r="D87" s="1">
        <v>41032</v>
      </c>
      <c r="E87" t="s">
        <v>14</v>
      </c>
      <c r="F87" t="s">
        <v>134</v>
      </c>
      <c r="G87" t="s">
        <v>135</v>
      </c>
      <c r="H87" t="s">
        <v>221</v>
      </c>
      <c r="I87" t="s">
        <v>18</v>
      </c>
      <c r="J87" t="s">
        <v>420</v>
      </c>
      <c r="K87" s="1">
        <v>46054</v>
      </c>
      <c r="L87" t="s">
        <v>421</v>
      </c>
      <c r="M87" t="str">
        <f>_xlfn.CONCAT(Table1[[#This Row],[FOTO_LOCALIZADOR_PESSOA]],".jpg")</f>
        <v>https://rondafotosp.petrobras.com.br/02468102.jpg</v>
      </c>
    </row>
    <row r="88" spans="1:13" x14ac:dyDescent="0.25">
      <c r="A88" t="s">
        <v>422</v>
      </c>
      <c r="B88">
        <v>9783946</v>
      </c>
      <c r="C88" t="s">
        <v>423</v>
      </c>
      <c r="D88" s="1">
        <v>39098</v>
      </c>
      <c r="E88" t="s">
        <v>14</v>
      </c>
      <c r="F88" t="s">
        <v>424</v>
      </c>
      <c r="G88" t="s">
        <v>425</v>
      </c>
      <c r="H88" t="s">
        <v>426</v>
      </c>
      <c r="I88" t="s">
        <v>427</v>
      </c>
      <c r="J88" t="s">
        <v>428</v>
      </c>
      <c r="K88" s="1">
        <v>45286.648611111108</v>
      </c>
      <c r="L88" t="s">
        <v>429</v>
      </c>
      <c r="M88" t="str">
        <f>_xlfn.CONCAT(Table1[[#This Row],[FOTO_LOCALIZADOR_PESSOA]],".jpg")</f>
        <v>https://rondafotosp.petrobras.com.br/09783946.jpg</v>
      </c>
    </row>
    <row r="89" spans="1:13" x14ac:dyDescent="0.25">
      <c r="A89" t="s">
        <v>430</v>
      </c>
      <c r="B89">
        <v>9694648</v>
      </c>
      <c r="C89" t="s">
        <v>431</v>
      </c>
      <c r="D89" s="1">
        <v>38796</v>
      </c>
      <c r="E89" t="s">
        <v>14</v>
      </c>
      <c r="F89" t="s">
        <v>63</v>
      </c>
      <c r="G89" t="s">
        <v>64</v>
      </c>
      <c r="H89" t="s">
        <v>24</v>
      </c>
      <c r="I89" t="s">
        <v>18</v>
      </c>
      <c r="J89" t="s">
        <v>432</v>
      </c>
      <c r="K89" s="1">
        <v>45269.044328703705</v>
      </c>
      <c r="L89" t="s">
        <v>433</v>
      </c>
      <c r="M89" t="str">
        <f>_xlfn.CONCAT(Table1[[#This Row],[FOTO_LOCALIZADOR_PESSOA]],".jpg")</f>
        <v>https://rondafotosp.petrobras.com.br/09694648.jpg</v>
      </c>
    </row>
    <row r="90" spans="1:13" x14ac:dyDescent="0.25">
      <c r="A90" t="s">
        <v>434</v>
      </c>
      <c r="B90">
        <v>9608799</v>
      </c>
      <c r="C90" t="s">
        <v>435</v>
      </c>
      <c r="D90" s="1">
        <v>38055</v>
      </c>
      <c r="E90" t="s">
        <v>14</v>
      </c>
      <c r="F90" t="s">
        <v>73</v>
      </c>
      <c r="G90" t="s">
        <v>74</v>
      </c>
      <c r="H90" t="s">
        <v>24</v>
      </c>
      <c r="I90" t="s">
        <v>226</v>
      </c>
      <c r="J90" t="s">
        <v>436</v>
      </c>
      <c r="K90" s="1">
        <v>45999.543599537035</v>
      </c>
      <c r="L90" t="s">
        <v>437</v>
      </c>
      <c r="M90" t="str">
        <f>_xlfn.CONCAT(Table1[[#This Row],[FOTO_LOCALIZADOR_PESSOA]],".jpg")</f>
        <v>https://rondafotosp.petrobras.com.br/09608799.jpg</v>
      </c>
    </row>
    <row r="91" spans="1:13" x14ac:dyDescent="0.25">
      <c r="A91" t="s">
        <v>438</v>
      </c>
      <c r="B91">
        <v>9857940</v>
      </c>
      <c r="C91" t="s">
        <v>439</v>
      </c>
      <c r="D91" s="1">
        <v>39706</v>
      </c>
      <c r="E91" t="s">
        <v>45</v>
      </c>
      <c r="F91" t="s">
        <v>73</v>
      </c>
      <c r="G91" t="s">
        <v>74</v>
      </c>
      <c r="H91" t="s">
        <v>46</v>
      </c>
      <c r="I91" t="s">
        <v>25</v>
      </c>
      <c r="J91" t="s">
        <v>440</v>
      </c>
      <c r="K91" s="1">
        <v>45292.139594907407</v>
      </c>
      <c r="L91" t="s">
        <v>441</v>
      </c>
      <c r="M91" t="str">
        <f>_xlfn.CONCAT(Table1[[#This Row],[FOTO_LOCALIZADOR_PESSOA]],".jpg")</f>
        <v>https://rondafotosp.petrobras.com.br/09857940.jpg</v>
      </c>
    </row>
    <row r="92" spans="1:13" x14ac:dyDescent="0.25">
      <c r="A92" t="s">
        <v>442</v>
      </c>
      <c r="B92">
        <v>9861098</v>
      </c>
      <c r="C92" t="s">
        <v>443</v>
      </c>
      <c r="D92" s="1">
        <v>39706</v>
      </c>
      <c r="E92" t="s">
        <v>14</v>
      </c>
      <c r="F92" t="s">
        <v>15</v>
      </c>
      <c r="G92" t="s">
        <v>16</v>
      </c>
      <c r="H92" t="s">
        <v>24</v>
      </c>
      <c r="I92" t="s">
        <v>18</v>
      </c>
      <c r="J92" t="s">
        <v>444</v>
      </c>
      <c r="K92" s="1">
        <v>45995.835486111115</v>
      </c>
      <c r="L92" t="s">
        <v>445</v>
      </c>
      <c r="M92" t="str">
        <f>_xlfn.CONCAT(Table1[[#This Row],[FOTO_LOCALIZADOR_PESSOA]],".jpg")</f>
        <v>https://rondafotosp.petrobras.com.br/09861098.jpg</v>
      </c>
    </row>
    <row r="93" spans="1:13" x14ac:dyDescent="0.25">
      <c r="A93" t="s">
        <v>446</v>
      </c>
      <c r="B93">
        <v>9914490</v>
      </c>
      <c r="C93" t="s">
        <v>447</v>
      </c>
      <c r="D93" s="1">
        <v>40430</v>
      </c>
      <c r="E93" t="s">
        <v>51</v>
      </c>
      <c r="F93" t="s">
        <v>36</v>
      </c>
      <c r="G93" t="s">
        <v>16</v>
      </c>
      <c r="H93" t="s">
        <v>46</v>
      </c>
      <c r="I93" t="s">
        <v>25</v>
      </c>
      <c r="J93" t="s">
        <v>448</v>
      </c>
      <c r="K93" s="1">
        <v>45870</v>
      </c>
      <c r="L93" t="s">
        <v>449</v>
      </c>
      <c r="M93" t="str">
        <f>_xlfn.CONCAT(Table1[[#This Row],[FOTO_LOCALIZADOR_PESSOA]],".jpg")</f>
        <v>https://rondafotosp.petrobras.com.br/09914490.jpg</v>
      </c>
    </row>
    <row r="94" spans="1:13" x14ac:dyDescent="0.25">
      <c r="A94" t="s">
        <v>450</v>
      </c>
      <c r="B94">
        <v>4606029</v>
      </c>
      <c r="C94" t="s">
        <v>451</v>
      </c>
      <c r="D94" s="1">
        <v>44984</v>
      </c>
      <c r="E94" t="s">
        <v>14</v>
      </c>
      <c r="F94" t="s">
        <v>63</v>
      </c>
      <c r="G94" t="s">
        <v>64</v>
      </c>
      <c r="H94" t="s">
        <v>17</v>
      </c>
      <c r="I94" t="s">
        <v>25</v>
      </c>
      <c r="J94" t="s">
        <v>452</v>
      </c>
      <c r="K94" s="1">
        <v>45318</v>
      </c>
      <c r="L94" t="s">
        <v>453</v>
      </c>
      <c r="M94" t="str">
        <f>_xlfn.CONCAT(Table1[[#This Row],[FOTO_LOCALIZADOR_PESSOA]],".jpg")</f>
        <v>https://rondafotosp.petrobras.com.br/04606029.jpg</v>
      </c>
    </row>
    <row r="95" spans="1:13" x14ac:dyDescent="0.25">
      <c r="A95" t="s">
        <v>454</v>
      </c>
      <c r="B95">
        <v>4607158</v>
      </c>
      <c r="C95" t="s">
        <v>455</v>
      </c>
      <c r="D95" s="1">
        <v>45145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456</v>
      </c>
      <c r="K95" s="1">
        <v>45444</v>
      </c>
      <c r="L95" t="s">
        <v>457</v>
      </c>
      <c r="M95" t="str">
        <f>_xlfn.CONCAT(Table1[[#This Row],[FOTO_LOCALIZADOR_PESSOA]],".jpg")</f>
        <v>https://rondafotosp.petrobras.com.br/04607158.jpg</v>
      </c>
    </row>
    <row r="96" spans="1:13" x14ac:dyDescent="0.25">
      <c r="A96" t="s">
        <v>458</v>
      </c>
      <c r="B96">
        <v>2464778</v>
      </c>
      <c r="C96" t="s">
        <v>459</v>
      </c>
      <c r="D96" s="1">
        <v>41003</v>
      </c>
      <c r="E96" t="s">
        <v>243</v>
      </c>
      <c r="F96" t="s">
        <v>460</v>
      </c>
      <c r="G96" t="s">
        <v>461</v>
      </c>
      <c r="H96" t="s">
        <v>24</v>
      </c>
      <c r="I96" t="s">
        <v>462</v>
      </c>
      <c r="J96" t="s">
        <v>463</v>
      </c>
      <c r="K96" s="1">
        <v>45931</v>
      </c>
      <c r="L96" t="s">
        <v>464</v>
      </c>
      <c r="M96" t="str">
        <f>_xlfn.CONCAT(Table1[[#This Row],[FOTO_LOCALIZADOR_PESSOA]],".jpg")</f>
        <v>https://rondafotosp.petrobras.com.br/02464778.jpg</v>
      </c>
    </row>
    <row r="97" spans="1:13" x14ac:dyDescent="0.25">
      <c r="A97" t="s">
        <v>465</v>
      </c>
      <c r="B97">
        <v>9912240</v>
      </c>
      <c r="C97" t="s">
        <v>466</v>
      </c>
      <c r="D97" s="1">
        <v>40422</v>
      </c>
      <c r="E97" t="s">
        <v>14</v>
      </c>
      <c r="F97" t="s">
        <v>36</v>
      </c>
      <c r="G97" t="s">
        <v>16</v>
      </c>
      <c r="H97" t="s">
        <v>24</v>
      </c>
      <c r="I97" t="s">
        <v>18</v>
      </c>
      <c r="J97" t="s">
        <v>467</v>
      </c>
      <c r="K97" s="1">
        <v>45870</v>
      </c>
      <c r="L97" t="s">
        <v>468</v>
      </c>
      <c r="M97" t="str">
        <f>_xlfn.CONCAT(Table1[[#This Row],[FOTO_LOCALIZADOR_PESSOA]],".jpg")</f>
        <v>https://rondafotosp.petrobras.com.br/09912240.jpg</v>
      </c>
    </row>
    <row r="98" spans="1:13" x14ac:dyDescent="0.25">
      <c r="A98" t="s">
        <v>469</v>
      </c>
      <c r="B98">
        <v>9695159</v>
      </c>
      <c r="C98" t="s">
        <v>470</v>
      </c>
      <c r="D98" s="1">
        <v>38796</v>
      </c>
      <c r="E98" t="s">
        <v>14</v>
      </c>
      <c r="F98" t="s">
        <v>23</v>
      </c>
      <c r="G98" t="s">
        <v>16</v>
      </c>
      <c r="H98" t="s">
        <v>46</v>
      </c>
      <c r="I98" t="s">
        <v>18</v>
      </c>
      <c r="J98" t="s">
        <v>471</v>
      </c>
      <c r="K98" s="1">
        <v>46054</v>
      </c>
      <c r="L98" t="s">
        <v>472</v>
      </c>
      <c r="M98" t="str">
        <f>_xlfn.CONCAT(Table1[[#This Row],[FOTO_LOCALIZADOR_PESSOA]],".jpg")</f>
        <v>https://rondafotosp.petrobras.com.br/09695159.jpg</v>
      </c>
    </row>
    <row r="99" spans="1:13" x14ac:dyDescent="0.25">
      <c r="A99" t="s">
        <v>473</v>
      </c>
      <c r="B99">
        <v>9655426</v>
      </c>
      <c r="C99" t="s">
        <v>474</v>
      </c>
      <c r="D99" s="1">
        <v>38565</v>
      </c>
      <c r="E99" t="s">
        <v>45</v>
      </c>
      <c r="F99" t="s">
        <v>15</v>
      </c>
      <c r="G99" t="s">
        <v>16</v>
      </c>
      <c r="H99" t="s">
        <v>46</v>
      </c>
      <c r="I99" t="s">
        <v>25</v>
      </c>
      <c r="J99" t="s">
        <v>475</v>
      </c>
      <c r="K99" s="1">
        <v>45273.540462962963</v>
      </c>
      <c r="L99" t="s">
        <v>476</v>
      </c>
      <c r="M99" t="str">
        <f>_xlfn.CONCAT(Table1[[#This Row],[FOTO_LOCALIZADOR_PESSOA]],".jpg")</f>
        <v>https://rondafotosp.petrobras.com.br/09655426.jpg</v>
      </c>
    </row>
    <row r="100" spans="1:13" x14ac:dyDescent="0.25">
      <c r="A100" t="s">
        <v>477</v>
      </c>
      <c r="B100">
        <v>4609597</v>
      </c>
      <c r="C100" t="s">
        <v>478</v>
      </c>
      <c r="D100" s="1">
        <v>45383</v>
      </c>
      <c r="E100" t="s">
        <v>14</v>
      </c>
      <c r="F100" t="s">
        <v>134</v>
      </c>
      <c r="G100" t="s">
        <v>135</v>
      </c>
      <c r="H100" t="s">
        <v>17</v>
      </c>
      <c r="I100" t="s">
        <v>18</v>
      </c>
      <c r="J100" t="s">
        <v>479</v>
      </c>
      <c r="K100" s="1">
        <v>46054</v>
      </c>
      <c r="L100" t="s">
        <v>480</v>
      </c>
      <c r="M100" t="str">
        <f>_xlfn.CONCAT(Table1[[#This Row],[FOTO_LOCALIZADOR_PESSOA]],".jpg")</f>
        <v>https://rondafotosp.petrobras.com.br/04609597.jpg</v>
      </c>
    </row>
    <row r="101" spans="1:13" x14ac:dyDescent="0.25">
      <c r="A101" t="s">
        <v>481</v>
      </c>
      <c r="B101">
        <v>2451574</v>
      </c>
      <c r="C101" t="s">
        <v>482</v>
      </c>
      <c r="D101" s="1">
        <v>40969</v>
      </c>
      <c r="E101" t="s">
        <v>14</v>
      </c>
      <c r="F101" t="s">
        <v>63</v>
      </c>
      <c r="G101" t="s">
        <v>64</v>
      </c>
      <c r="H101" t="s">
        <v>24</v>
      </c>
      <c r="I101" t="s">
        <v>18</v>
      </c>
      <c r="J101" t="s">
        <v>483</v>
      </c>
      <c r="K101" s="1">
        <v>45292.086736111109</v>
      </c>
      <c r="L101" t="s">
        <v>484</v>
      </c>
      <c r="M101" t="str">
        <f>_xlfn.CONCAT(Table1[[#This Row],[FOTO_LOCALIZADOR_PESSOA]],".jpg")</f>
        <v>https://rondafotosp.petrobras.com.br/02451574.jpg</v>
      </c>
    </row>
    <row r="102" spans="1:13" x14ac:dyDescent="0.25">
      <c r="A102" t="s">
        <v>485</v>
      </c>
      <c r="B102">
        <v>9913954</v>
      </c>
      <c r="C102" t="s">
        <v>486</v>
      </c>
      <c r="D102" s="1">
        <v>40423</v>
      </c>
      <c r="E102" t="s">
        <v>14</v>
      </c>
      <c r="F102" t="s">
        <v>96</v>
      </c>
      <c r="G102" t="s">
        <v>97</v>
      </c>
      <c r="H102" t="s">
        <v>24</v>
      </c>
      <c r="I102" t="s">
        <v>87</v>
      </c>
      <c r="J102" t="s">
        <v>487</v>
      </c>
      <c r="K102" s="1">
        <v>46125.75613425926</v>
      </c>
      <c r="L102" t="s">
        <v>488</v>
      </c>
      <c r="M102" t="str">
        <f>_xlfn.CONCAT(Table1[[#This Row],[FOTO_LOCALIZADOR_PESSOA]],".jpg")</f>
        <v>https://rondafotosp.petrobras.com.br/09913954.jpg</v>
      </c>
    </row>
    <row r="103" spans="1:13" x14ac:dyDescent="0.25">
      <c r="A103" t="s">
        <v>489</v>
      </c>
      <c r="B103">
        <v>2412352</v>
      </c>
      <c r="C103" t="s">
        <v>490</v>
      </c>
      <c r="D103" s="1">
        <v>40756</v>
      </c>
      <c r="E103" t="s">
        <v>45</v>
      </c>
      <c r="F103" t="s">
        <v>156</v>
      </c>
      <c r="G103" t="s">
        <v>157</v>
      </c>
      <c r="H103" t="s">
        <v>24</v>
      </c>
      <c r="I103" t="s">
        <v>87</v>
      </c>
      <c r="J103" t="s">
        <v>491</v>
      </c>
      <c r="K103" s="1">
        <v>45274.537951388891</v>
      </c>
      <c r="L103" t="s">
        <v>492</v>
      </c>
      <c r="M103" t="str">
        <f>_xlfn.CONCAT(Table1[[#This Row],[FOTO_LOCALIZADOR_PESSOA]],".jpg")</f>
        <v>https://rondafotosp.petrobras.com.br/02412352.jpg</v>
      </c>
    </row>
    <row r="104" spans="1:13" x14ac:dyDescent="0.25">
      <c r="A104" t="s">
        <v>493</v>
      </c>
      <c r="B104">
        <v>2478826</v>
      </c>
      <c r="C104" t="s">
        <v>494</v>
      </c>
      <c r="D104" s="1">
        <v>41155</v>
      </c>
      <c r="E104" t="s">
        <v>14</v>
      </c>
      <c r="F104" t="s">
        <v>63</v>
      </c>
      <c r="G104" t="s">
        <v>64</v>
      </c>
      <c r="H104" t="s">
        <v>24</v>
      </c>
      <c r="I104" t="s">
        <v>18</v>
      </c>
      <c r="J104" t="s">
        <v>495</v>
      </c>
      <c r="K104" s="1">
        <v>45274.592048611114</v>
      </c>
      <c r="L104" t="s">
        <v>496</v>
      </c>
      <c r="M104" t="str">
        <f>_xlfn.CONCAT(Table1[[#This Row],[FOTO_LOCALIZADOR_PESSOA]],".jpg")</f>
        <v>https://rondafotosp.petrobras.com.br/02478826.jpg</v>
      </c>
    </row>
  </sheetData>
  <pageMargins left="0.7" right="0.7" top="0.75" bottom="0.75" header="0.3" footer="0.3"/>
  <headerFooter>
    <oddFooter>&amp;L_x000D_&amp;1#&amp;"Trebuchet MS"&amp;9&amp;K008542 INTERNA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Nascimento Coelho</dc:creator>
  <cp:lastModifiedBy>Fernando Nascimento Coelho</cp:lastModifiedBy>
  <dcterms:created xsi:type="dcterms:W3CDTF">2026-06-01T17:46:58Z</dcterms:created>
  <dcterms:modified xsi:type="dcterms:W3CDTF">2026-06-03T20:26:46Z</dcterms:modified>
</cp:coreProperties>
</file>